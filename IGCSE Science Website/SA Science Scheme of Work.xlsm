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ThisWorkbook"/>
  <mc:AlternateContent xmlns:mc="http://schemas.openxmlformats.org/markup-compatibility/2006">
    <mc:Choice Requires="x15">
      <x15ac:absPath xmlns:x15ac="http://schemas.microsoft.com/office/spreadsheetml/2010/11/ac" url="https://d.docs.live.net/4b7df026db25dbc3/Documents/Teaching/New IGCSE/"/>
    </mc:Choice>
  </mc:AlternateContent>
  <xr:revisionPtr revIDLastSave="89" documentId="11_E1498E0140C33B95E5F6ADBD38A38E036FAE7283" xr6:coauthVersionLast="47" xr6:coauthVersionMax="47" xr10:uidLastSave="{F475E992-F37C-415B-B95C-A591705E77A3}"/>
  <bookViews>
    <workbookView xWindow="43080" yWindow="-120" windowWidth="38640" windowHeight="21120" activeTab="2" xr2:uid="{00000000-000D-0000-FFFF-FFFF00000000}"/>
  </bookViews>
  <sheets>
    <sheet name="Biology" sheetId="1" r:id="rId1"/>
    <sheet name="Chemistry" sheetId="2" r:id="rId2"/>
    <sheet name="Physics" sheetId="3" r:id="rId3"/>
    <sheet name="Bio, chem, phys test" sheetId="4" r:id="rId4"/>
    <sheet name="Double and Single Award Test" sheetId="6" r:id="rId5"/>
  </sheets>
  <definedNames>
    <definedName name="_xlnm._FilterDatabase" localSheetId="2" hidden="1">Physics!$A$1:$I$1002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7" i="2" l="1"/>
  <c r="N3" i="4"/>
  <c r="C107" i="3"/>
  <c r="C106" i="3"/>
  <c r="C105" i="3"/>
  <c r="C104" i="3"/>
  <c r="C103" i="3"/>
  <c r="C102" i="3"/>
  <c r="C101" i="3"/>
  <c r="C100" i="3"/>
  <c r="C98" i="3"/>
  <c r="C97" i="3"/>
  <c r="C96" i="3"/>
  <c r="C95" i="3"/>
  <c r="C94" i="3"/>
  <c r="C93" i="3"/>
  <c r="C92" i="3"/>
  <c r="C91" i="3"/>
  <c r="C90" i="3"/>
  <c r="C89" i="3"/>
  <c r="C88" i="3"/>
  <c r="C87" i="3"/>
  <c r="C86" i="3"/>
  <c r="C84" i="3"/>
  <c r="C83" i="3"/>
  <c r="C82" i="3"/>
  <c r="C81" i="3"/>
  <c r="C80" i="3"/>
  <c r="C79" i="3"/>
  <c r="C78" i="3"/>
  <c r="C77" i="3"/>
  <c r="C75" i="3"/>
  <c r="C74" i="3"/>
  <c r="C73" i="3"/>
  <c r="C72" i="3"/>
  <c r="C71" i="3"/>
  <c r="C70" i="3"/>
  <c r="C69" i="3"/>
  <c r="C68" i="3"/>
  <c r="C67" i="3"/>
  <c r="C66" i="3"/>
  <c r="C64" i="3"/>
  <c r="C63" i="3"/>
  <c r="C62" i="3"/>
  <c r="C61" i="3"/>
  <c r="C60" i="3"/>
  <c r="C59" i="3"/>
  <c r="C58" i="3"/>
  <c r="C57" i="3"/>
  <c r="C56" i="3"/>
  <c r="C55" i="3"/>
  <c r="C54" i="3"/>
  <c r="C53" i="3"/>
  <c r="C52" i="3"/>
  <c r="C51" i="3"/>
  <c r="C49" i="3"/>
  <c r="C48" i="3"/>
  <c r="C47" i="3"/>
  <c r="C46" i="3"/>
  <c r="C45" i="3"/>
  <c r="C44" i="3"/>
  <c r="C43" i="3"/>
  <c r="C42" i="3"/>
  <c r="C41" i="3"/>
  <c r="C40" i="3"/>
  <c r="C39" i="3"/>
  <c r="C38" i="3"/>
  <c r="C37" i="3"/>
  <c r="C36" i="3"/>
  <c r="C35" i="3"/>
  <c r="C33" i="3"/>
  <c r="C32" i="3"/>
  <c r="C31" i="3"/>
  <c r="C30" i="3"/>
  <c r="C29" i="3"/>
  <c r="C28" i="3"/>
  <c r="C27" i="3"/>
  <c r="C26" i="3"/>
  <c r="C25" i="3"/>
  <c r="C24" i="3"/>
  <c r="C23" i="3"/>
  <c r="C22" i="3"/>
  <c r="C21" i="3"/>
  <c r="C19" i="3"/>
  <c r="C18" i="3"/>
  <c r="C17" i="3"/>
  <c r="C16" i="3"/>
  <c r="C15" i="3"/>
  <c r="C14" i="3"/>
  <c r="C13" i="3"/>
  <c r="C12" i="3"/>
  <c r="C11" i="3"/>
  <c r="C10" i="3"/>
  <c r="C9" i="3"/>
  <c r="C8" i="3"/>
  <c r="C7" i="3"/>
  <c r="C6" i="3"/>
  <c r="C5" i="3"/>
  <c r="C4" i="3"/>
  <c r="C3" i="3"/>
  <c r="C2" i="3"/>
  <c r="C105" i="2"/>
  <c r="C104" i="2"/>
  <c r="C103" i="2"/>
  <c r="C102" i="2"/>
  <c r="C101" i="2"/>
  <c r="C100" i="2"/>
  <c r="C99" i="2"/>
  <c r="C98" i="2"/>
  <c r="C96" i="2"/>
  <c r="C95" i="2"/>
  <c r="C94" i="2"/>
  <c r="C92" i="2"/>
  <c r="C91" i="2"/>
  <c r="C90" i="2"/>
  <c r="C89" i="2"/>
  <c r="C87" i="2"/>
  <c r="C86" i="2"/>
  <c r="C85" i="2"/>
  <c r="C84" i="2"/>
  <c r="C83" i="2"/>
  <c r="C82" i="2"/>
  <c r="C81" i="2"/>
  <c r="C80" i="2"/>
  <c r="C79" i="2"/>
  <c r="C78" i="2"/>
  <c r="C77" i="2"/>
  <c r="C75" i="2"/>
  <c r="C74" i="2"/>
  <c r="C73" i="2"/>
  <c r="C72" i="2"/>
  <c r="C71" i="2"/>
  <c r="C69" i="2"/>
  <c r="C68" i="2"/>
  <c r="C67" i="2"/>
  <c r="C66" i="2"/>
  <c r="C65" i="2"/>
  <c r="C63" i="2"/>
  <c r="C62" i="2"/>
  <c r="C61" i="2"/>
  <c r="C59" i="2"/>
  <c r="C57" i="2"/>
  <c r="C56" i="2"/>
  <c r="C55" i="2"/>
  <c r="C54" i="2"/>
  <c r="C53" i="2"/>
  <c r="C52" i="2"/>
  <c r="C50" i="2"/>
  <c r="C49" i="2"/>
  <c r="C48" i="2"/>
  <c r="C46" i="2"/>
  <c r="C45" i="2"/>
  <c r="C44" i="2"/>
  <c r="C43" i="2"/>
  <c r="C42" i="2"/>
  <c r="C41" i="2"/>
  <c r="C40" i="2"/>
  <c r="C39" i="2"/>
  <c r="C38" i="2"/>
  <c r="C37" i="2"/>
  <c r="C35" i="2"/>
  <c r="C34" i="2"/>
  <c r="C33" i="2"/>
  <c r="C32" i="2"/>
  <c r="C31" i="2"/>
  <c r="C30" i="2"/>
  <c r="C29" i="2"/>
  <c r="C28" i="2"/>
  <c r="C27" i="2"/>
  <c r="C25" i="2"/>
  <c r="C24" i="2"/>
  <c r="C23" i="2"/>
  <c r="C22" i="2"/>
  <c r="C21" i="2"/>
  <c r="C20" i="2"/>
  <c r="C19" i="2"/>
  <c r="C18" i="2"/>
  <c r="C17" i="2"/>
  <c r="C16" i="2"/>
  <c r="C15" i="2"/>
  <c r="C13" i="2"/>
  <c r="C12" i="2"/>
  <c r="C11" i="2"/>
  <c r="C10" i="2"/>
  <c r="C9" i="2"/>
  <c r="C8" i="2"/>
  <c r="C7" i="2"/>
  <c r="C6" i="2"/>
  <c r="C5" i="2"/>
  <c r="C4" i="2"/>
  <c r="C3" i="2"/>
  <c r="C2" i="2"/>
  <c r="C106" i="1"/>
  <c r="C105" i="1"/>
  <c r="C104" i="1"/>
  <c r="C103" i="1"/>
  <c r="C102" i="1"/>
  <c r="C101" i="1"/>
  <c r="C100" i="1"/>
  <c r="C99" i="1"/>
  <c r="C98" i="1"/>
  <c r="C97" i="1"/>
  <c r="C96" i="1"/>
  <c r="C95" i="1"/>
  <c r="C94" i="1"/>
  <c r="C93" i="1"/>
  <c r="C92" i="1"/>
  <c r="C91" i="1"/>
  <c r="C90" i="1"/>
  <c r="C89" i="1"/>
  <c r="C87" i="1"/>
  <c r="C86" i="1"/>
  <c r="C85" i="1"/>
  <c r="C84" i="1"/>
  <c r="C83" i="1"/>
  <c r="C82" i="1"/>
  <c r="C81" i="1"/>
  <c r="C80" i="1"/>
  <c r="C78" i="1"/>
  <c r="C77" i="1"/>
  <c r="C75" i="1"/>
  <c r="C74" i="1"/>
  <c r="C72" i="1"/>
  <c r="C71" i="1"/>
  <c r="C70" i="1"/>
  <c r="C69" i="1"/>
  <c r="C68" i="1"/>
  <c r="C67" i="1"/>
  <c r="C65" i="1"/>
  <c r="C64" i="1"/>
  <c r="C63" i="1"/>
  <c r="C62" i="1"/>
  <c r="C61" i="1"/>
  <c r="C60" i="1"/>
  <c r="C58" i="1"/>
  <c r="C57" i="1"/>
  <c r="C55" i="1"/>
  <c r="C54" i="1"/>
  <c r="C52" i="1"/>
  <c r="C51" i="1"/>
  <c r="C50" i="1"/>
  <c r="C49" i="1"/>
  <c r="C48" i="1"/>
  <c r="C47" i="1"/>
  <c r="C46" i="1"/>
  <c r="C44" i="1"/>
  <c r="C43" i="1"/>
  <c r="C42" i="1"/>
  <c r="C41" i="1"/>
  <c r="C40" i="1"/>
  <c r="C39" i="1"/>
  <c r="C38" i="1"/>
  <c r="C37" i="1"/>
  <c r="C36" i="1"/>
  <c r="C35" i="1"/>
  <c r="C34" i="1"/>
  <c r="C33" i="1"/>
  <c r="C32" i="1"/>
  <c r="C31" i="1"/>
  <c r="C30" i="1"/>
  <c r="C29" i="1"/>
  <c r="C28" i="1"/>
  <c r="C27" i="1"/>
  <c r="C26" i="1"/>
  <c r="C25" i="1"/>
  <c r="C24" i="1"/>
  <c r="C23" i="1"/>
  <c r="C22" i="1"/>
  <c r="C21" i="1"/>
  <c r="C19" i="1"/>
  <c r="C18" i="1"/>
  <c r="C17" i="1"/>
  <c r="C16" i="1"/>
  <c r="C15" i="1"/>
  <c r="C14" i="1"/>
  <c r="C13" i="1"/>
  <c r="C12" i="1"/>
  <c r="C11" i="1"/>
  <c r="C10" i="1"/>
  <c r="C9" i="1"/>
  <c r="C7" i="1"/>
  <c r="C6" i="1"/>
  <c r="C5" i="1"/>
  <c r="C4" i="1"/>
  <c r="C3" i="1"/>
  <c r="C2" i="1"/>
</calcChain>
</file>

<file path=xl/sharedStrings.xml><?xml version="1.0" encoding="utf-8"?>
<sst xmlns="http://schemas.openxmlformats.org/spreadsheetml/2006/main" count="3392" uniqueCount="2294">
  <si>
    <t xml:space="preserve"> </t>
  </si>
  <si>
    <t>Lesson number</t>
  </si>
  <si>
    <t>Lesson name</t>
  </si>
  <si>
    <t>Specification point(s)</t>
  </si>
  <si>
    <t>Student Book pages</t>
  </si>
  <si>
    <t>Requisitions</t>
  </si>
  <si>
    <t>Notes</t>
  </si>
  <si>
    <t>Planning</t>
  </si>
  <si>
    <t>Learning Objectives</t>
  </si>
  <si>
    <t>Key Words</t>
  </si>
  <si>
    <t>Method Details</t>
  </si>
  <si>
    <t>Year 10</t>
  </si>
  <si>
    <t>Term 1</t>
  </si>
  <si>
    <t>The Characteristics of Living Organisms</t>
  </si>
  <si>
    <t>1.1 understand how living organisms share the following characteristics:
they require nutrition
they respire
they excrete their waste
they respond to their surroundings
they move
they control their internal conditions
they reproduce
they grow and develop</t>
  </si>
  <si>
    <t>Pages 3–4</t>
  </si>
  <si>
    <t>Various images of MRS GREN H attributes</t>
  </si>
  <si>
    <t>Lesson 1 — The Characteristics of Living Organisms
Specification Points:
1.1 understand how living organisms share the following characteristics:
they require nutrition
they respire
they excrete their waste
they respond to their surroundings
they move
they control their internal conditions
they reproduce
they grow and develop
Pages 3–4
Requisitions:
Various images of MRS GREN H attributes</t>
  </si>
  <si>
    <t>• recall the characteristics of life
• describe the characteristics of life.</t>
  </si>
  <si>
    <t>• cell: the basic unit that living organisms are made of
• excretion: getting rid of waste substances that are produced inside an organism
• homeostasis: keeping the conditions inside an organism at constant levels
• multicellular: made of many cells
• nutrition: the process by which an organism gets the substances it needs for energy, health and growth
• respiration: the process by which organisms release energy from their food
• stimulus: a change that an organism detects, inside or outside its body
• unicellular: made of one cell</t>
  </si>
  <si>
    <t>The Structures of Animal and Plant Cells</t>
  </si>
  <si>
    <t>2.2 describe cell structures, including the nucleus, cytoplasm, cell membrane, cell wall, mitochondria, chloroplasts, ribosomes and vacuole
2.3 describe the functions of the nucleus, cytoplasm, cell membrane, cell wall, mitochondria, chloroplasts, ribosomes and vacuole
2.4 know the similarities and differences in the structure of plant and animal cells</t>
  </si>
  <si>
    <t>Pages 4–6</t>
  </si>
  <si>
    <t>Animal and plant cell model</t>
  </si>
  <si>
    <t>Lesson 2 — The Structures of Animal and Plant Cells
Specification Points:
2.2 describe cell structures, including the nucleus, cytoplasm, cell membrane, cell wall, mitochondria, chloroplasts, ribosomes and vacuole
2.3 describe the functions of the nucleus, cytoplasm, cell membrane, cell wall, mitochondria, chloroplasts, ribosomes and vacuole
2.4 know the similarities and differences in the structure of plant and animal cells
Pages 4–6
Requisitions:
Animal and plant cell model</t>
  </si>
  <si>
    <t>• identify the cell structures in animal and plant cells
• describe the functions of cell structures in animal and plant cells
• compare the structures of plant and animal cells.</t>
  </si>
  <si>
    <t>• cell membrane: thin outer covering of a cell that controls what enters and leaves it
• cell wall: a tough layer of material around some cells that is used for protection and support and in plant cells it is stiff and made of cellulose
• chlorophyll: green substance found inside chloroplasts that traps energy from light
• chloroplast: green cell structure in which glucose is produced by photosynthesis
• chromosome: structure inside the nucleus that contains genes
• cytoplasm: watery jelly inside a cell where the cell’s activities take place
• enzyme: a protein that controls a chemical reaction in the cytoplasm
• gene: section of genetic material (usually DNA) that controls part of the activity of a cell
• mitochondrion: cell structure in which respiration using oxygen occurs and the plural is mitochondria
• nucleus: cell structure that controls the cell
• organelle: small part of a cell that has a certain function and chloroplasts, nuclei and mitochondria are all organelles
• partially permeable membranes: membranes that allow some substances through them but not others
• ribosome: cell structure that makes proteins
• vacuole: space surrounded by a membrane in the cytoplasm of cells. Plant cells have a large permanent vacuole, which stores water and nutrients, and helps to support the plant by keeping the cells rigid.</t>
  </si>
  <si>
    <t>Features of Eukaryotic Organisms</t>
  </si>
  <si>
    <t>1.2 describe the common features shown by eukaryotic organisms: plants, animals, fungi and protoctists
Plants: these are multicellular organisms; their cells contain chloroplasts and are able to carry out photosynthesis; their cells have cellulose cell walls; they store carbohydrates as starch or sucrose. Examples include flowering plants, such as a cereal (for example, maize), and an herbaceous legume (for example, peas or beans).
Animals: these are multicellular organisms; their cells do not contain chloroplasts and are not able to carry out photosynthesis; they have no cell walls; they usually have nervous co-ordination and are able to move from one place to another: they often store carbohydrate as glycogen. Examples include mammals (for example, humans) and insects (for example, housefly and mosquito).
Fungi: these are organisms that are not able to carry out photosynthesis; their body is usually organised into a mycelium made from thread-like structures called hyphae, which contain many nuclei; some examples are single-celled; their cells have walls made of chitin; they feed by extracellular secretion of digestive enzymes onto food material and absorption of the organic products; this is known as saprotrophic nutrition; they may store carbohydrate as glycogen. Examples include Mucor, which has the typical fungal hyphal structure, and yeast, which is single-celled.
Protoctists: these are microscopic single-celled organisms. Some, like Amoeba, that live in pond water, have features like an animal cell, while others, like Chlorella, have chloroplasts and are more like plants. A pathogenic example is Plasmodium, responsible for causing malaria.</t>
  </si>
  <si>
    <t>Pages 25–28</t>
  </si>
  <si>
    <t>Nutrient agar plates (Part 1)
malt extract Bunsen burner
stirring rod
glass bottle with cap
permanent marker pen
Petri dishes (sterile)
adhesive tape
water bath</t>
  </si>
  <si>
    <t>• Students should not seal a dish all the way around the join between its top and base, since this can allow the growth of dangerous anaerobic organisms. Using two pieces of tape allows some air to enter the dish.
• Tell the students that, once sealed, the plates must not be reopened.
• Students should examine the plates and record their results. Students should dispose the plates safely (e.g. using an autoclave), according to your school and country’s safety procedures.
• Ask students to wash their hands after handling the dish.
• After the method to expose the plates has been followed, the dishes should be left upside down in a warm place (or incubator set at 25 °C). Colonies should appear within 48 hours. Plates should not be left for much longer than 48 hours to prevent overgrowth of colonies.</t>
  </si>
  <si>
    <t>Lesson 3 — Features of Eukaryotic Organisms
Specification Points:
1.2 describe the common features shown by eukaryotic organisms: plants, animals, fungi and protoctists
Plants: these are multicellular organisms; their cells contain chloroplasts and are able to carry out photosynthesis; their cells have cellulose cell walls; they store carbohydrates as starch or sucrose. Examples include flowering plants, such as a cereal (for example, maize), and an herbaceous legume (for example, peas or beans).
Animals: these are multicellular organisms; their cells do not contain chloroplasts and are not able to carry out photosynthesis; they have no cell walls; they usually have nervous co-ordination and are able to move from one place to another: they often store carbohydrate as glycogen. Examples include mammals (for example, humans) and insects (for example, housefly and mosquito).
Fungi: these are organisms that are not able to carry out photosynthesis; their body is usually organised into a mycelium made from thread-like structures called hyphae, which contain many nuclei; some examples are single-celled; their cells have walls made of chitin; they feed by extracellular secretion of digestive enzymes onto food material and absorption of the organic products; this is known as saprotrophic nutrition; they may store carbohydrate as glycogen. Examples include Mucor, which has the typical fungal hyphal structure, and yeast, which is single-celled.
Protoctists: these are microscopic single-celled organisms. Some, like Amoeba, that live in pond water, have features like an animal cell, while others, like Chlorella, have chloroplasts and are more like plants. A pathogenic example is Plasmodium, responsible for causing malaria.
Pages 25–28
Requisitions:
Nutrient agar plates (Part 1)
malt extract Bunsen burner
stirring rod
glass bottle with cap
permanent marker pen
Petri dishes (sterile)
adhesive tape
water bath
Notes:
Wear eye protection throughout this practical.
Follow aseptic technique. Do not open sealed culture plates. Dispose of biological material safely.
since this can allow the growth of dangerous anaerobic organisms. Using two pieces of tape allows some air to enter the dish.
Take care with hot apparatus. Do not touch hot equipment directly. Use tongs or heat-proof mats.
Follow aseptic technique. Do not open sealed culture plates. Dispose of biological material safely.</t>
  </si>
  <si>
    <t>• define the term eukaryotic
• describe plants, animals and many fungi as multicellular organisms
• describe the features of plants, animals, fungi and protoctists
• compare the features of plants, animals, fungi and protoctists using examples.</t>
  </si>
  <si>
    <t>• alga: protoctist that can photosynthesise. Plural is algae.
• Amoeba: common protoctist (and a protozoan)
• cellulose: type of carbohydrate found in the cell walls of plants and some protoctists
• chitin:type of carbohydrate found in the cell walls of fungi
• Chlorella: common alga (protoctist)
• eukaryotic:describes organisms with cells that contain nuclei, mitochondria and other organelles with membranes around them. Animals, plants, fungi and protoctists are all eukaryotes.
• glycogen: storage carbohydrate made in animals and fungi. Found in liver and muscles.
• hypha: thread-like filament of cells in fungi
• invertebrate: animal without a vertebral column (backbone)
• kingdom: Biologists often divide living things into five large groups, called kingdoms: plants, animals, fungi, protoctists and bacteria.
• multicellular: made of many cells
• Mucor: a mould fungus
• mycelium:massive network of hyphae in multicellular fungi
• nervous system: network of nerve cells that carry information from one part of an animal to another
• pathogen: microorganism that causes disease
• Plasmodium: protoctist that causes malaria
• prokaryotic:describes organisms whose cells have organelles that do not have membranes around them (such as nuclei and mitochondria). Bacteria are prokaryotes.
• protoctist: kingdom of eukaryotic organisms, most of which are single-celled.
• protozoan: single-celled protoctist that needs to feed on other organisms or their remains. Plural is protozoa.
• saprophytic:describes organisms that feed on dead or decaying matter. Fungi are saprophytes.
• starch: storage carbohydrate made in plants
• sucrose: carbohydrate (a sugar) made in plants, which some plants store
• unicellular: made of one cell
• vertebrate: animal with a vertebral column (backbone)
• yeast: a unicellular fungus</t>
  </si>
  <si>
    <t>1. Take a Petri dish that contains the nutrient agar jelly. This is called a nutrient agar dish or a nutrient agar plate.
2. At the same time, the whole class should, without touching the jelly, carefully remove the lid of the dish.
3. Students should hold the base of the dish (the part that contains the jelly) and wave it slowly in front of them for five seconds.
4. Replace the lid.
5. Take two pieces of adhesive tape and seal the dish exactly like this diagram. This will hold the lid and base of the dish together.
6. Very carefully turn the dishes over, so that the jelly is at the top. Students should write their name on the bottom of the dish.
7. Leave the dish in a warm place to see if anything grows.
8. Without opening it, students carefully examine the dish and make notes and drawings to show what they can see on the agar jelly.</t>
  </si>
  <si>
    <t>Prokaryotic Organisms</t>
  </si>
  <si>
    <t>1.3 describe the common features shown by prokaryotic organisms such as bacteria
Bacteria: these are microscopic single-celled organisms; they have a cell wall, cell membrane, cytoplasm and plasmids; they lack a nucleus but contain a circular chromosome of DNA; some bacteria can carry out photosynthesis but most feed off other living or dead organisms. Examples include Lactobacillus bulgaricus, a rod-shaped bacterium used in the production of yoghurt from milk, and Pneumococcus, a spherical bacterium that acts as the pathogen causing pneumonia.</t>
  </si>
  <si>
    <t>Pages 28–29</t>
  </si>
  <si>
    <t>Nutrient agar plates (Part 2)</t>
  </si>
  <si>
    <t>• Students must not open the plates.
• Students should wash their hands after handling the plates.
• Students should dispose of all plates safely (e.g. using an autoclave), according to your school and country’s safety procedures.</t>
  </si>
  <si>
    <t>Lesson 4 — Prokaryotic Organisms
Specification Points:
1.3 describe the common features shown by prokaryotic organisms such as bacteria
Bacteria: these are microscopic single-celled organisms; they have a cell wall, cell membrane, cytoplasm and plasmids; they lack a nucleus but contain a circular chromosome of DNA; some bacteria can carry out photosynthesis but most feed off other living or dead organisms. Examples include Lactobacillus bulgaricus, a rod-shaped bacterium used in the production of yoghurt from milk, and Pneumococcus, a spherical bacterium that acts as the pathogen causing pneumonia.
Pages 28–29
Requisitions:
Nutrient agar plates (Part 2)
Notes:
Follow aseptic technique. Do not open sealed culture plates. Dispose of biological material safely.</t>
  </si>
  <si>
    <t>• define the term prokaryotic
• identify prokaryotic features from images of bacteria
• describe the functions of the different features of bacterial cells
• describe the roles of:many bacteria as decomposersLactobacillus bulgaricusin the production of yoghurtPneumococcusin the development of pneumonia.
• many bacteria as decomposers
• Lactobacillus bulgaricusin the production of yoghurt
• Pneumococcusin the development of pneumonia.</t>
  </si>
  <si>
    <t>• bacteria:small single-celled organisms that are prokaryotic
• capsule:an outer layer that protects bacteria
• flagellum:a tail-like structure used for movement in some bacteria
• nucleoid:an area of the cytoplasm in a bacterial cell in which there is a circular chromosome
• plasmids:small circular pieces of DNA that are found in the cytoplasm of bacterial cells.
• prokaryote:an organism with cells that lack a nucleus</t>
  </si>
  <si>
    <t>1. Examine your plate and discuss with others in your group what you think is growing on it.</t>
  </si>
  <si>
    <t>Pathogens</t>
  </si>
  <si>
    <t>1.4 understand the term pathogen and know that pathogens may include fungi, bacteria, protoctists or viruses
Viruses: these are not living organisms. They are small particles, smaller than bacteria; they are parasitic and can reproduce only inside living cells; they infect every type of living organism. They have a wide variety of shapes and sizes; they have no cellular structure but have a protein coat and contain one type of nucleic acid, either DNA or RNA. Examples include the tobacco mosaic virus that causes discolouring of the leaves of tobacco plants by preventing the formation of chloroplasts, the influenza virus that causes ‘flu’ and the HIV virus that causes AIDS.</t>
  </si>
  <si>
    <t>Lesson 5 — Pathogens
Specification Points:
1.4 understand the term pathogen and know that pathogens may include fungi, bacteria, protoctists or viruses
Viruses: these are not living organisms. They are small particles, smaller than bacteria; they are parasitic and can reproduce only inside living cells; they infect every type of living organism. They have a wide variety of shapes and sizes; they have no cellular structure but have a protein coat and contain one type of nucleic acid, either DNA or RNA. Examples include the tobacco mosaic virus that causes discolouring of the leaves of tobacco plants by preventing the formation of chloroplasts, the influenza virus that causes ‘flu’ and the HIV virus that causes AIDS.
Pages 28–29</t>
  </si>
  <si>
    <t>• define the term pathogen
• recognise that pathogens can be bacteria, fungi, viruses or protoctists
• outline the basic parts of a virus particle
• explain why viruses are not classed as living
• describe the effects of tobacco mosaic virus (TMV), the influenza virus and HIV.</t>
  </si>
  <si>
    <t>• DNA:genetic material found in most organisms, which stores instructions
• nucleic acid: either RNA or DNA
• parasite:an organism that lives in or on another organism, which it harms (usually by feeding on it)
• pathogen: microorganism that causes disease
• protein coat: tough layer surrounding the genetic material in a virus
• RNA:genetic material similar to DNA that stores instructions in some viruses
• virus:non-living particle that can make copies of itself in living cells.</t>
  </si>
  <si>
    <t>Cell Differentiation and Stem Cells</t>
  </si>
  <si>
    <t>2.1 describe the levels of organisation in organisms: organelles, cells, tissues, organs and systems
2.5B explain the importance of cell differentiation in the development of specialised cells
2.6B understand the advantages and disadvantages of using stem cells in medicine</t>
  </si>
  <si>
    <t>Pages 18–21</t>
  </si>
  <si>
    <t>Laminated sheets for Cell Safari activity (with worksheet)
Practical: Microscopes and prepared slides of:
1.Root hair cells
2.Ciliated epithelium
3.Egg and Sperm cells
4.Motor neuron
5.Microvilli cells
6.Red blood cells
7.White blood cells
8.Leaf palisade cells
9.Muscle cells
10. Xylem and Phloem cells</t>
  </si>
  <si>
    <t>Handle glass slides and coverslips carefully — they break easily and can be sharp.</t>
  </si>
  <si>
    <t>Lesson 6 — Cell Differentiation and Stem Cells
Specification Points:
2.1 describe the levels of organisation in organisms: organelles, cells, tissues, organs and systems
2.5B explain the importance of cell differentiation in the development of specialised cells
2.6B understand the advantages and disadvantages of using stem cells in medicine
Pages 18–21
Requisitions:
Laminated sheets for Cell Safari activity (with worksheet)
Practical: Microscopes and prepared slides of: 
1.Root hair cells
2.Ciliated epithelium
3.Egg and Sperm cells
4.Motor neuron
5.Microvilli cells
6.Red blood cells
7.White blood cells
8.Leaf palisade cells
9.Muscle cells
10. Xylem and Phloem cells
Notes:
Handle glass slides and coverslips carefully — they break easily and can be sharp.</t>
  </si>
  <si>
    <t>• describe the levels of organisation in organisms: organelles, cells, tissues, organs and systems
• explain the need for cell differentiation to produce specialised cells
• discuss the advantages and disadvantages of using stem cells in medicine.</t>
  </si>
  <si>
    <t>• adult stem cell: stem cell that can differentiate into one of a small range of specialised cells
• differentiation:a process during which a cell changes in structure to be able to perform a particular function
• embryonic stem cell: stem cell that can differentiate into any specialised cell
• ethics: what people believe is fair or right or wrong
• meristem:area of stem cells found near the growing part of a root or shoot in plants
• mitosis: type of cell division in which one cell becomes two identical cells
• organ system: a group of organs working together to perform an important job
• organ: a group of tissues working together to perform an important job
• stem cell:an undifferentiated cell that can give rise to other types of cells
• tissue: a group of the same type of cells working together
• zygote:a single cell formed by the fusion of a male and a female sex cell</t>
  </si>
  <si>
    <t>Test 1</t>
  </si>
  <si>
    <t>Biological Molecules 1 – Carbohydrates</t>
  </si>
  <si>
    <t>2.7 identify the chemical elements present in carbohydrates
2.8 describe the structure of carbohydrates, proteins and lipids as large molecules made up from smaller basic units: starch and glycogen from simple sugars, protein from amino acids, and lipid from fatty acids and glycerol
2.9 practical: investigate food samples for the presence of glucose and starch</t>
  </si>
  <si>
    <t>Pages 53–55 and 58</t>
  </si>
  <si>
    <t>Practical test for glucose and starch
eye protection
5 ml test tubes, racks and bungs
Benedict’s reagent
water bath set at 80 °C
marker pen
spatulas
test tubes and rack
pipette
distilled water
paper towels
access to various food samples, e.g. biscuit, cake, fruits, milk, cheese, potato, lemonade</t>
  </si>
  <si>
    <t>• Students should wear eye protection.
• Students should wash any splashed liquids quickly from skin.
• Students should not taste any of the food.
• Ask students to take care with hot water in the water bath.
• Remind students that Benedict’s solution can be harmful to skin and eyes.
• Students should report any spillages and wash hands after finishing.</t>
  </si>
  <si>
    <t>Lesson 7 — Biological Molecules 1 – Carbohydrates
Specification Points:
2.7 identify the chemical elements present in carbohydrates
2.8 describe the structure of carbohydrates, proteins and lipids as large molecules made up from smaller basic units: starch and glycogen from simple sugars, protein from amino acids, and lipid from fatty acids and glycerol
2.9 practical: investigate food samples for the presence of glucose and starch
Pages 53–55 and 58
Requisitions:
Practical test for glucose and starch
eye protection
5 ml test tubes, racks and bungs
Benedict’s reagent
water bath set at 80 °C
marker pen
spatulas
test tubes and rack
pipette
distilled water
paper towels
access to various food samples, e.g. biscuit, cake, fruits, milk, cheese, potato, lemonade
Notes:
Students should wear eye protection.
Take care with hot apparatus. Do not touch hot equipment directly. Use tongs or heat-proof mats.
Handle glassware carefully. Report any breakages to the teacher immediately.</t>
  </si>
  <si>
    <t>• recognise that carbohydrates, proteins and lipids are organic molecules
• name the reagents used to test for glucose and starch
• carry out tests for simple sugars (glucose) and starch (part of Core Practical 1) and know the positive results when testing for glucose and starch
• recognise that starch and simple sugars are carbohydrates and how starch is synthesised from, and can be broken down into, simple sugars.</t>
  </si>
  <si>
    <t>• element:a substance that cannot be broken down into simpler forms
• macromolecules:large molecules
• precipitate:solid particles that sometimes form in a solution
• reagents:chemicals used to analyse substances</t>
  </si>
  <si>
    <t>1. Place two spatulas of each food into separate, clean test tubes. Label the test tubes so you know which food each contains.
2. Use a syringe to add 5 ml of distilled water to each test tube.
3. Use a syringe to add 5 ml of Benedict’s solution to each test tube and shake the tubes to mix the contents.
4. Place each labelled tube into a water bath, heated to 80 °C for 10 minutes.
5. Record the colour of the solution for each food that is tested.
6. Pour the contents of your tubes into the waste bucket and place the dirty test tubes into the washing up bowl.
7. Put the eye protection back into the tray and wash your hands.
1. Place one spatula of each food on a white tile or plate.
2. Use a dropper pipette to add two or three drops of iodine in potassium iodide solution onto each food.
3. Record the results. Which foods stain blue/black and which foods are yellow/brown?
4. Pour the contents of your tubes into the waste bucket and place the dirty test tubes into the washing up bowl.
5. Put the eye protection back into the tray and wash your hands.</t>
  </si>
  <si>
    <t>Biological Molecules 2 – Lipids and Proteins</t>
  </si>
  <si>
    <t>Pages 54–55 and 58</t>
  </si>
  <si>
    <t>Practical test for protein and lipids
eye protection
marker pen
spatulas
test tubes and rack
biuret reagent
pipette
paper towels
access to various food samples, e.g. cooked chicken, cooked fish, cheese, milk, tofu, Quorn, bread, rice</t>
  </si>
  <si>
    <t>• Students should wear eye protection.
• Students should wash any splashed liquids quickly from skin.
• Students should not taste any of the food.
• Remind students that biuret reagent is corrosive and can be harmful to skin and eyes.
• Students should report any spillages and wash hands after finishing.</t>
  </si>
  <si>
    <t>Lesson 8 — Biological Molecules 2 – Lipids and Proteins
Specification Points:
2.7 identify the chemical elements present in carbohydrates
2.8 describe the structure of carbohydrates, proteins and lipids as large molecules made up from smaller basic units: starch and glycogen from simple sugars, protein from amino acids, and lipid from fatty acids and glycerol
2.9 practical: investigate food samples for the presence of glucose and starch
Pages 54–55 and 58
Requisitions:
Practical test for protein and lipids
eye protection
marker pen
spatulas
test tubes and rack
biuret reagent
pipette
paper towels
access to various food samples, e.g. cooked chicken, cooked fish, cheese, milk, tofu, Quorn, bread, rice
Notes:
Students should wear eye protection.
Handle glassware carefully. Report any breakages to the teacher immediately.</t>
  </si>
  <si>
    <t>• describe lipids as fats and oils, made of the subunits glycerol and fatty acids and describe proteins as polymers of amino acids
• name the reagents used to test for lipids and proteins
• carry out tests for lipids and proteins (part of Core Practical 1) and know the positive results when testing for lipids and proteins.</t>
  </si>
  <si>
    <t>• emulsion: droplets of one liquid suspended in another liquid</t>
  </si>
  <si>
    <t>1. Place two spatulas of each food into separate, clean test tubes. Label each tube so you know which food is in it.
2. Use a syringe to add 5 cm³ of distilled water to each food in its tube and shake to mix.
3. Use another syringe to add 5 cm³ of biuret reagent to each tube and gently move the tube to mix the contents.
4. After about two minutes, note and record the colour of the solution for each food.
5. Pour the contents of your tubes into the waste bucket and place the dirty test tubes into the washing up bowl.
6. Put the eye protection back into the tray and wash your hands.
1. Place two spatulas of each food into separate, clean test tubes.
2. Use a syringe to add 3 cm³ of ethanol to each tube and shake the contents vigorously to dissolve any fat that is in the food into the ethanol.
3. Allow the tubes to stand for 2–3 minutes so that the contents settle.
4. Carefully pour the ethanol from each tube into another test tube that is half-filled with distilled water.
5. Observe the water in the second tube, near the top and see if there is a white cloudy layer.
6. Record your results for each food.
7. Pour the contents of your tubes into the waste bucket and place the dirty test tubes into the washing up bowl.
8. Put the eye protection back into the tray and wash your hands.</t>
  </si>
  <si>
    <t>Enzyme Action and the Effect of Temperature</t>
  </si>
  <si>
    <t>2.10 understand the role of enzymes as biological catalysts in metabolic reactions
2.11 understand how temperature changes can affect enzyme function, including changes to the shape of active site</t>
  </si>
  <si>
    <t>Pages 6–12</t>
  </si>
  <si>
    <t>Adding potato tissue to hydrogen peroxide solution
eye protection
section of potato (blended and mixed with an equal volume of distilled water or
small piece of liver)
dilute hydrogen peroxide
test tube
bung and delivery tube
large beaker with water
splint and Bunsen flame
biological washing powder/liquid</t>
  </si>
  <si>
    <t>• Students should take care when using hydrogen peroxide solution – it can cause irritation.
• Students should take care when using the glowing splint which relights with the oxygen.
• Remind students that hydrogen peroxide is made during respiration and can damage tissues so it has to be broken down quickly by the enzyme catalase.</t>
  </si>
  <si>
    <t>Lesson 9 — Enzyme Action and the Effect of Temperature
Specification Points:
2.10 understand the role of enzymes as biological catalysts in metabolic reactions
2.11 understand how temperature changes can affect enzyme function, including changes to the shape of active site
Pages 6–12
Requisitions:
Adding potato tissue to hydrogen peroxide solution
eye protection
section of potato (blended and mixed with an equal volume of distilled water or
small piece of liver)
dilute hydrogen peroxide
test tube
bung and delivery tube
large beaker with water
splint and Bunsen flame
biological washing powder/liquid
Notes:
Take care with hot apparatus. Do not touch hot equipment directly. Use tongs or heat-proof mats.
Wear eye protection throughout the practical.
Hydrogen peroxide is an irritant. Wear eye protection and avoid skin contact.
Handle glassware carefully. Report any breakages to the teacher immediately.</t>
  </si>
  <si>
    <t>• define the term biological catalyst
• explain the action of enzymes on substrates
• explain the effect of temperature on enzyme activity.</t>
  </si>
  <si>
    <t>• active site: a part of an enzyme molecule with a specific shape where a particular substrate will bind
• catalyst: a substance that increases the rate of a chemical reaction without itself being changed
• denatured: when the shape of an enzyme's active site has been changed so that it no longer fits a particular substrate and the enzyme cannot work
• optimum temperature: the temperature at which the rate of a reaction is the fastest
• substrate: a substance on which an enzyme acts</t>
  </si>
  <si>
    <t>1. Chop a large potato into small pieces and place in a blender with an equal volume of distilled water.
2. Mince up the potato tissue and release the catalase from the cells.
3. Allow the potato debris to settle to the bottom.
4. Remove the liquid extract above the debris. Now test the liquid extract for catalase activity at different values of pH.
5. Use a graduated syringe to extract 5 cm³ of extract and place it in a boiling tube with 5 cm³ of pH buffer solution.
6. Gently shake the tube to mix the buffer solution and extract together.
7. Leave the mixture for 5 minutes, then add 5 cm³ of 5% hydrogen peroxide solution to the tube from the syringe.
8. Quickly insert a bung and delivery tube into the boiling tube and place the end of the delivery tube in a beaker of water.
9. Count the bubbles of oxygen gas produced in the first minute after adding the hydrogen peroxide. This is a measure of the initial reaction rate.</t>
  </si>
  <si>
    <t>How Enzyme Activity Can be Affected by Changes in Temperature</t>
  </si>
  <si>
    <t>2.12 practical: investigate how enzyme activity can be affected by changes in temperatures</t>
  </si>
  <si>
    <t>Pages 7–10</t>
  </si>
  <si>
    <t>Practical to investigate how the activity of amylase can be affected by changes in temperature</t>
  </si>
  <si>
    <t>Lesson 10 — How Enzyme Activity Can be Affected by Changes in Temperature
Specification Points:
2.12 practical: investigate how enzyme activity can be affected by changes in temperatures
Pages 7–10
Requisitions:
Practical to investigate how the activity of amylase can be affected by changes in temperature</t>
  </si>
  <si>
    <t>• describe a method that can be used to investigate the effect of temperature on enzyme activity
• explain the control variables in an investigation on the effect of temperature on enzyme activity
• interpret data from an investigation on the effect of temperature on enzyme activity and calculate rates of reaction.</t>
  </si>
  <si>
    <t>• control:the part of an experiment that is the standard to which the results can be compared
• control variable:a factor that is kept constant throughout an investigation
• variable:a factor in an investigation that can affect the outcome of the investigation</t>
  </si>
  <si>
    <t xml:space="preserve">The Effect of pH on Enzyme Activity </t>
  </si>
  <si>
    <t>2.13 understand how enzyme function can be affected by changes in pH altering the active site</t>
  </si>
  <si>
    <t>Page 8</t>
  </si>
  <si>
    <t>universal indicator solution in dropper bottle
beaker with distilled water
lemon juice
sodium hydroxide solution
white vinegar
two test tubes in a rack
universal indicator paper
glass rods ×2
pH probe and data logger
magnetic stirrer if possible</t>
  </si>
  <si>
    <t>• Do not directly touch any of the substances.
• Report and deal with any spillages according to your school’s guidelines and any local or national regulations.
• How precise are the universal indicator solution readings ? (Answer: not as precise as pH probe as we do not get a reading in between whole numbers.)
• Students should not directly touch any of the substances.
• Students should report any spillages.
• Students should wash hands after the practical.
• Remind students that each substance should be clearly labelled and with its own pipette or spatula so there is no cross-contamination as students take some of the substance onto a dimple tile to test for pH.</t>
  </si>
  <si>
    <t>Lesson 11 — The Effect of pH on Enzyme Activity
Specification Points:
2.13 understand how enzyme function can be affected by changes in pH altering the active site
Page 8
Requisitions:
universal indicator solution in dropper bottle
beaker with distilled water
lemon juice
sodium hydroxide solution
white vinegar
two test tubes in a rack
universal indicator paper
glass rods ×2
pH probe and data logger
magnetic stirrer if possible
Notes:
Do not directly touch any of the substances.
Wear eye protection. Handle acids and alkalis with care; wash any splashes off skin immediately.
Handle glassware carefully. Report any breakages to the teacher immediately.</t>
  </si>
  <si>
    <t>• recall the effect of pH on acidity and alkalinity
• explain the effect of pH on enzyme activity
• interpret data to identify the optimum pH value for different enzymes.</t>
  </si>
  <si>
    <t>• alkali: a soluble base
• pH: the acidity or alkalinity of a solution. Acids have a pH value of below 7. Alkalis have a pH value of above 7. A solution with a pH of 7 is neutral.
• base: hydroxides of alkaline metals and solutions of ammonia; bases neutralise acids by reacting with the free hydrogen ions in an acid solution</t>
  </si>
  <si>
    <t>1. Add a few drops of universal indicator solution to the distilled water and stir so students can see the colour is green. Remind them that distilled water is pH 7 (neutral). If you have a pH probe, measure the pH. Then measure the pH using the universal indicator paper and compare the results. Now add some lemon juice to the water, drop by drop so students can see a colour change to yellow or orange/red. Again, measure the pH, using both methods, if possible.
2. Now add some 0.1 mol/dm³ sodium hydroxide solution, drop by drop until the indicator goes back to green. The alkaline sodium hydroxide has neutralised the acidic lemon juice. Measure the pH value using both methods.
3. Now add some white vinegar to the water, drop by drop so students can see a colour change to yellow or orange/red. Measure the pH value using both methods.
4. Now add some 0.1 mol/dm³ sodium hydroxide solution, drop by drop until the indicator goes back to green. The alkaline sodium hydroxide has neutralised the acidic vinegar. Measure the pH value using both methods.
1. Place a substance in a well on a dimple tile.
2. Add a drop of universal indicator solution
3. Note the colour and state the pH value.
4. Write down your results into your exercise book.</t>
  </si>
  <si>
    <t>Core Practical – How Enzyme Activity Can be Affected by Changes in pH</t>
  </si>
  <si>
    <t>2.13 understand how enzyme function can be affected by changes in pH affecting the active site
2.14B practical: investigate how enzyme activity can be affected by changes in pH</t>
  </si>
  <si>
    <t>Pages 8 and 11
Lab Book: Pages 10–12</t>
  </si>
  <si>
    <t>Amylase solution (1%)
Buffer solutions at pH 2, 4, 6, 7, 8, 10
Glass rod / dropper for sampling
Iodine solution
Spotting tile (or dimple tray)
Starch solution (1%)
Stopwatch / timer
Syringes or pipettes (for measuring volumes)
Test tubes and test tube rack
Water bath at 35 °C (to keep temperature constant)
eye protection
8 test tubes
waterproof marker pen
1 × 10 cm³ syringe
10⁰ cm³ egg white suspension
8 × 5 cm³ syringes
access to buffer solutions of pH 1, 2, 3, 4, 5, 6, 7, 8
water bath set at 40 °C
2% pepsin solution
stirring rod</t>
  </si>
  <si>
    <t>• Students should wear eye protection.
• Students should not drink any of the liquids.
• Students should wash any splashes quickly from skin. Enzymes/pepsin are irritants and can cause allergic reactions or asthma symptoms.
• Students should wash off any chemical splashes immediately.
• Remind students to take care with the buffer and enzyme solutions.
• Students should not be tempted to extend the range of pH higher than 8 because strong alkalis break down proteins and this will give confusing and false data. You could even leave out pH 8 and just use the range 1–7.</t>
  </si>
  <si>
    <t>Lesson 12 — Core Practical – How Enzyme Activity Can be Affected by Changes in pH
Specification Points:
2.13 understand how enzyme function can be affected by changes in pH affecting the active site
2.14B practical: investigate how enzyme activity can be affected by changes in pH
Pages 8 and 11
Lab Book: Pages 10–12
Requisitions:
Amylase solution (1%)
Buffer solutions at pH 2, 4, 6, 7, 8, 10
Glass rod / dropper for sampling
Iodine solution
Spotting tile (or dimple tray)
Starch solution (1%)
Stopwatch / timer
Syringes or pipettes (for measuring volumes)
Test tubes and test tube rack
Water bath at 35°C (to keep temperature constant)
eye protection
8 test tubes
waterproof marker pen
1 × 10 cm³ syringe
100 cm³ egg white suspension
8 × 5 cm³ syringes
access to buffer solutions of pH 1, 2, 3, 4, 5, 6, 7, 8
water bath set at 40 °C
2% pepsin solution
stirring rod
Notes:
Students should wear eye protection.
Take care with hot apparatus. Do not touch hot equipment directly. Use tongs or heat-proof mats.
Take care with staining solutions; they can stain skin and clothing. Wash off splashes immediately.
Handle glassware carefully. Report any breakages to the teacher immediately.</t>
  </si>
  <si>
    <t>• describe a method that can be used to investigate the effect of pH on enzyme activity
• explain the control variables in an investigation on the effect of pH on enzyme activity
• interpret data from an investigation on the effect of pH on enzyme activity and calculate rates of reaction.</t>
  </si>
  <si>
    <t>• accuracy: how close results are to a true value. For example, how well does a measuring instrument determine the variable it is meant to measure?
• anomalous result: a result that does not fit the pattern of other results
• precision: how consistent results are if measurements are repeated
• reliability: how consistently a method measures something. If a test is repeated and produces exactly the same result, it is 10⁰% reliable.
• validity: whether the results really measure what the investigation intends to measure. For example, does changing temperature really affect enzyme action, or are other factors involved?</t>
  </si>
  <si>
    <t>1. Label 8 test tubes 1, 2, 3, 4, 5, 6, 7, 8.
2. Use a 10 cm³ syringe to add 10 cm³ egg white suspension to each tube.
3. Use a clean syringe in each case to add 2 cm³ of a buffer solution to each tube so that you have a range of pH values, 1–8: pH1 in the tube labelled 1, etc.
4. Place the tubes (in a test tube rack) into the water bath set at 40 °C and leave them for 5 minutes to reach the temperature of the water bath.
5. Use a 10 cm³ syringe to add 3 cm³ pepsin solution to each tube. Stir the contents of each tube using a glass rod.
6. Start the timer and note the time taken for the contents of each tube to become transparent.</t>
  </si>
  <si>
    <t>Transport of Substances in and out of Cells</t>
  </si>
  <si>
    <t>2.15 understand the processes of diffusion, osmosis and active transport by which substances move into and out of cells</t>
  </si>
  <si>
    <t>Pages 16–18</t>
  </si>
  <si>
    <t>Lesson 15 — Transport of Substances in and out of Cells
Specification Points:
2.15 understand the processes of diffusion, osmosis and active transport by which substances move into and out of cells
Pages 16–18</t>
  </si>
  <si>
    <t>• identify substances that move by diffusion, osmosis and active transport
• describe the difference between diffusion and osmosis
• explain the processes of diffusion, osmosis and active transport.</t>
  </si>
  <si>
    <t>• active transport: the pumping of particles across a membrane, usually against the concentration gradient. This process requires energy.
• concentrated: a concentrated solution contains many solute molecules in a certain volume of solvent
• concentration gradient: the difference in the concentration of molecules between two regions in a solution. There will be an overall movement of particles down a concentration gradient, from higher concentration to lower concentration.
• diffusion: the random movement and spreading of particles. There is a net (overall) diffusion of particles from regions of higher concentration to regions of lower concentration .
• dilute: a dilute solution contains few solute molecules in a certain volume of solvent
• flaccid: when a cell has lost internal pressure, so that the cytoplasm no longer pushes out against the cell membrane (and cell wall, in plants)
• osmosis: the overall movement of solvent molecules in a solution across a partially permeable membrane, from a dilute solution to a more concentrated one
• partially permeable: describes a membrane that allows certain small particles through it but not larger ones
• turgid: when a cell has high internal pressure, so that the cytoplasm pushes out against the cell membrane (and cell wall, in plants)</t>
  </si>
  <si>
    <t>Factors Affecting Diffusion</t>
  </si>
  <si>
    <t>2.16 understand how factors affect the rate of movement of substances into and out of cells, including the effects of surface area to volume ratio, distance, temperature and concentration gradient
 2.17 practical: investigate diffusion and osmosis using living and non-living systems</t>
  </si>
  <si>
    <t>Pages 16–17</t>
  </si>
  <si>
    <t>agar cubes
0.01 mol/dm³ sodium hydroxide solution
phenolphthalein indicator solution (or universal indicator solution)
measuring cylinder
250 cm³ conical flask or larger water bath (boiling)
tongs or heat-proof gloves
heat-proof mat
dish or tray with at least 2 cm depth
scalpel
Petri dishes (or similar)
eye protection
Teacher Preparation
The agar needs preparing before the lesson to allow the agar to set and the cubes to
be cut.
Add 2 g agar powder to 10⁰ cm³
0.01 mol/dm³ sodium
hydroxide solution in a large conical flask. Swirl to mix thoroughly.
Add phenolphthalein indicator solution until there is a strong pink colour in
the agar, indicating alkalinity. Universal indicator solution can also be used.
Place the container in a water bath of boiling water until the solution boils.
Use tongs or heat-proof gloves to remove the flask from the water bath. Swirl
the contents gently and leave to cool for 10–15 minutes on a heat-proof
Pour the agar into a tray or dish to a depth of 2 cm.
When the agar has set, use a ruler and scalpel to cut three sizes of cube – side
lengths 2 cm, 1 cm and 0.5 cm. Place three different cubes in Petri dishes (or
similar) for students to use.
The rest of the instructions are on the student Method in
Student work 1
for the students to carry out.</t>
  </si>
  <si>
    <t>• Wear eye protection
• Students should be careful to not touch the cubes with their fingers and rinse any splashes immediately</t>
  </si>
  <si>
    <t>Lesson 16 — Factors Affecting Diffusion
Specification Points:
2.16 understand how factors affect the rate of movement of substances into and out of cells, including the effects of surface area to volume ratio, distance, temperature and concentration gradient
 2.17 practical: investigate diffusion and osmosis using living and non-living systems
Pages 16–17
Requisitions:
agar cubes
0.01 mol/dm³ sodium hydroxide solution
phenolphthalein indicator solution (or universal indicator solution)
measuring cylinder
250 cm³ conical flask or larger water bath (boiling)
tongs or heat-proof gloves
heat-proof mat
dish or tray with at least 2 cm depth
scalpel
Petri dishes (or similar)
eye protection
Teacher Preparation
The agar needs preparing before the lesson to allow the agar to set and the cubes to
be cut.
Add 2 g agar powder to 100 cm³
0.01 mol/dm³ sodium
hydroxide solution in a large conical flask. Swirl to mix thoroughly.
Add phenolphthalein indicator solution until there is a strong pink colour in
the agar, indicating alkalinity. Universal indicator solution can also be used.
Place the container in a water bath of boiling water until the solution boils.
Use tongs or heat-proof gloves to remove the flask from the water bath. Swirl
the contents gently and leave to cool for 10–15 minutes on a heat-proof
Pour the agar into a tray or dish to a depth of 2 cm.
When the agar has set, use a ruler and scalpel to cut three sizes of cube – side
lengths 2 cm, 1 cm and 0.5 cm. Place three different cubes in Petri dishes (or
similar) for students to use.
The rest of the instructions are on the student Method in
Student work 1
for the students to carry out.
Notes:
Wear eye protection
Take care with hot apparatus. Do not touch hot equipment directly. Use tongs or heat-proof mats.
Take care with sharp instruments. Cut away from the body. Follow dissection safety guidelines.</t>
  </si>
  <si>
    <t>• use a model to investigate how cells get the substances they need
• describe and calculate surface area to volume ratios
• describe the effect of surface area to volume ratio on the time needed for a cell to obtain all the substances it needs.</t>
  </si>
  <si>
    <t>• surface area to volume ratio (SA : V):a measure of the surface area available for substances to enter and leave a unit of volume. It is shown as a ratio or calculated by dividing surface area by volume. A small cell has a larger surface area to volume ratio than a large cell. So, a small cell has more surface area for substances to enter and leave a unit of volume.</t>
  </si>
  <si>
    <t>The Effect of Surface Area to Volume Ratio on Organisms</t>
  </si>
  <si>
    <t>2.15 understand the processes of diffusion, osmosis and active transport by which substances move into and out of cells
2.16 understand how factors affect the rate of movement of substances into and out of cells, including the effects of surface area to volume ratio, distance, temperature and concentration gradient</t>
  </si>
  <si>
    <t>Page 16</t>
  </si>
  <si>
    <t>Lesson 17 — The Effect of Surface Area to Volume Ratio on Organisms
Specification Points:
2.15 understand the processes of diffusion, osmosis and active transport by which substances move into and out of cells
2.16 understand how factors affect the rate of movement of substances into and out of cells, including the effects of surface area to volume ratio, distance, temperature and concentration gradient
Page 16</t>
  </si>
  <si>
    <t>• explain how the rate of diffusion into and out of cells depends on:
• surface area
• distance
• concentration gradient
• temperature
• explain how cells and exchange surfaces increase their efficiency by:increasing their surface area to volume ratiohaving shapes (e.g. flattened to decrease diffusion distance)maintaining concentration gradients.
• increasing their surface area to volume ratio
• having shapes (e.g. flattened to decrease diffusion distance)
• maintaining concentration gradients.</t>
  </si>
  <si>
    <t>• proportional: a relationship between two variables in which doubling of one variable doubles the other. This is also called a directly proportional relationship.
• inversely proportional: a relationship between two variables in which doubling one variable halves the other</t>
  </si>
  <si>
    <t>Core Practical – Investigating Osmosis</t>
  </si>
  <si>
    <t>2.17 practical: investigate diffusion and osmosis using living and non-living systems</t>
  </si>
  <si>
    <t>Page 157
Lab Book: Pages 19–22</t>
  </si>
  <si>
    <t>Balance / weighing scales
Boiling tubes
Cork borer
Measuring cylinder (10 cm³)
Paper towels / blotting paper
Potatoes
Sucrose solutions (0.0, 0.2, 0.4, 0.6, 1.0 mol/dm³)
White tile
6 boiling tubes and rack
waterproof marker pen
10 cm³ syringe distilled water (0% sucrose solution)
large, peeled potato (or pre-cut potato cores/discs)
cork borer (not needed if pre-cut potatoes are used)
white tile (not needed if pre-cut potatoes are used)
forceps
accurate balance</t>
  </si>
  <si>
    <t>• Students should wear eye protection.
• Students should not taste or drink any of the solutions or taste the potato.
• Remind students that If they are using a cork borer to not hold the potato in the palm of their hand. Students should hold the potato at its top and press it firmly down onto the tile. Then press the cork borer down through the potato into the tile.
• Remind students to use a knife with great care. Students must hold a knife or scalpel above the bench at all times.</t>
  </si>
  <si>
    <t>Lesson 18 — Core Practical – Investigating Osmosis
Specification Points:
2.17 practical: investigate diffusion and osmosis using living and non-living systems
Page 157
Lab Book: Pages 19–22
Requisitions:
Balance / weighing scales
Boiling tubes
Cork borer
Measuring cylinder (10 cm³)
Paper towels / blotting paper
Potatoes
Sucrose solutions (0.0, 0.2, 0.4, 0.6, 1.0 mol/dm³)
White tile
6 boiling tubes and rack
waterproof marker pen
10 cm³ syringe distilled water (0% sucrose solution)
large, peeled potato (or pre-cut potato cores/discs)
cork borer (not needed if pre-cut potatoes are used)
white tile (not needed if pre-cut potatoes are used)
forceps
accurate balance
Notes:
Students should wear eye protection.
Take care with hot apparatus. Do not touch hot equipment directly. Use tongs or heat-proof mats.
Handle glassware carefully. Report any breakages to the teacher immediately.</t>
  </si>
  <si>
    <t>• investigate the effects of osmosis (on potato tuber tissue)
• calculate percentage gain and loss of mass.</t>
  </si>
  <si>
    <t>• percentage change:( change in values &amp;divide;initial value) &amp;times; 10⁰
• validity:whether something does what it is intended to do. For example, a valid investigation is one in which control variables are properly controlled to produce results that answer the original question. Valid results are produced by a valid investigation. Valid conclusions are drawn from the results of a valid investigation (and only the results from that investigation).
• plasmolysed: when a plant cell lacks water and its cytoplasm and cell membrane pulls away from the cell wall</t>
  </si>
  <si>
    <t>1. Label the tubes 0%, 2.5%, 5%, 7.5%, 10%, 12.5% and 15%, respectively (i.e. in the same order as the seven sucrose solutions).
2. Use a clean syringe to place 10 cm³ distilled water into the tube labelled 0%.
3. Use the same syringe to place 10 cm³ 2.5% sucrose solution into the tube labelled 2.5%.
4. Rinse the syringe with distilled water and then use it to add 10 cm³ 5% of sucrose solution to the tube labelled 5%.
5. Rinse the syringe with distilled water and then use it to add 10 cm³ 7.5% of sucrose solution to the tube labelled 7.5%.
6. Rinse the syringe with distilled water and then use it to add 10 cm³ 10.0% of sucrose solution to the tube labelled 10%.
7. Rinse the syringe with distilled water and then use it to add 10 cm³ 12.5% of sucrose solution to the tube labelled 12.5%.
8. Rinse the syringe with distilled water and then use it to add 10 cm³ 15.0% of sucrose solution to the tube labelled 15%.
9. Use the cork borer to make six cylinders of potato tissue.
10. Place the potato cylinders on a white tile and, using a knife and ruler, cut each one to the same length.
11. Cut each cylinder into 6 equal-sized discs. This gives more surface area/exposed</t>
  </si>
  <si>
    <t>Ways That Molecules Move</t>
  </si>
  <si>
    <t>Pages 16–18 and 156</t>
  </si>
  <si>
    <t>Lesson 19 — Ways That Molecules Move
Specification Points:
2.15 understand the processes of diffusion, osmosis and active transport by which substances move into and out of cells
2.16 understand how factors affect the rate of movement of substances into and out of cells, including the effects of surface area to volume ratio, distance, temperature and concentration gradient
Pages 16–18 and 156</t>
  </si>
  <si>
    <t>• use a microscope to observe cells
• identify where and why diffusion, osmosis and active transport occur in cells.</t>
  </si>
  <si>
    <t>• isotonic:a solution that has the same solute concentration as another solution
• root hair cell: specialised plant cell found on the outsides of roots. It has a cell extension (that looks like a hair) giving it a large surface area to volume ratio for efficient absorption of water and mineral ions.</t>
  </si>
  <si>
    <t>Test 2</t>
  </si>
  <si>
    <t>Obtaining Energy Currency</t>
  </si>
  <si>
    <t>2.34 understand how the process of respiration produces ATP in living organisms 
2.35 know that ATP provides energy for cells</t>
  </si>
  <si>
    <t>Pages 12–13</t>
  </si>
  <si>
    <t>Lesson 20 — Obtaining Energy Currency
Specification Points:
2.34 understand how the process of respiration produces ATP in living organisms 
2.35 know that ATP provides energy for cells
Pages 12–13</t>
  </si>
  <si>
    <t>• recall the word equation for aerobic respiration
• describe how ATP is produced
• explain the role of ATP in a cell.</t>
  </si>
  <si>
    <t>• aerobic respiration: chemical reaction in the mitochondria of cells, in which glucose is broken down using oxygen. The reaction releases energy from glucose.
• ATP: substance from which energy can be released very quickly. Short for adenosine triphosphate.
• glucose: sugar (carbohydrate) used for respiration. Its breakdown releases energy for a cell.
• metabolism: all the chemical reactions in an organism
• rate of respiration: the speed at which the reactions of respiration take place in cells</t>
  </si>
  <si>
    <t>Respiration in Living Organisms</t>
  </si>
  <si>
    <t>2.36 describe the differences between aerobic and anaerobic respiration
2.37 know the word equation and the balanced chemical symbol equation for aerobic respiration in living organisms
2.38 know the word equation for anaerobic respiration in plants and in animals
2.39 practical: investigate the evolution of carbon dioxide and heat from respiring seeds or other suitable living organisms</t>
  </si>
  <si>
    <t>Pages 12–15</t>
  </si>
  <si>
    <t>• dried peas
• 2 vacuum flasks
• 2 thermometers or temperature probes connected to dataloggers
• 2 clamp stands
• cotton wool
• large container (in which to soak the peas)
• pan (in which to boil half the peas)
• disinfectant solution (e.g. Milton ® )
• distilled water
• eye protection
• red, green and yellow paper/card to cut up and give each student one card of each colour</t>
  </si>
  <si>
    <t>• Students should wear eye protection when handling disinfectant solutions.
• Students should take care when boiling the peas.</t>
  </si>
  <si>
    <t>Lesson 21 — Respiration in Living Organisms
Specification Points:
2.36 describe the differences between aerobic and anaerobic respiration
2.37 know the word equation and the balanced chemical symbol equation for aerobic respiration in living organisms
2.38 know the word equation for anaerobic respiration in plants and in animals
2.39 practical: investigate the evolution of carbon dioxide and heat from respiring seeds or other suitable living organisms
Pages 12–15
Notes:
Students should wear eye protection when handling disinfectant solutions.</t>
  </si>
  <si>
    <t>• recall the word equations for aerobic and anaerobic respiration in plants and animals
• recall the symbol equation for aerobic respiration
• explain why respiration increases temperature
• compare aerobic and anaerobic respiration.</t>
  </si>
  <si>
    <t>• anaerobic respiration:the release of energy from glucose in the absence of oxygen
• lactate:substance produced during anaerobic respiration in animals
• lactic acid:used as another term for lactate in word equations for anaerobic respiration
• oxygen debt:the additional oxygen needed after exercise in which anaerobic respiration has supplied a lot of energy</t>
  </si>
  <si>
    <t>1. You will need to set up the vacuum flasks of peas three or four days before the demonstration, to allow time for an obvious increase in temperature.
2. You will need enough dried peas to half-fill two vacuum flasks.
3. Soak the dried peas for 12–24 hours in water and then boil half of them for 2 minutes (to kill them) and allow them to cool completely.
4. Soak all the peas in a laboratory disinfectant solution (to kill any microorganisms growing on them). For example, Milton® fluid made up according to the manufacturer's instructions. Wear eye protection while doing this.
5. Rinse the peas twice in distilled water to remove the disinfectant.
6. Divide the peas equally between two vacuum flasks. The vacuum flasks insulate the contents and so the changes of temperature inside the flasks can be measured.
7. Insert a thermometer (or a temperature probe connected to a datalogger) into each flask. Aim to insert the thermometer about a quarter of the way into the flask, so that it will be surrounded by peas when the flask is inverted.
8. Seal the tops of the flasks with cotton wool.
9. Hold each flask upside down in a clamp stand.
10. Record the temperature at the start of the experiment and then every 12 hours (or start the datalogger).
11. As the unboiled peas start to germinate, their respiration should noticeably increase the temperature inside that flask. The flask containing the dead peas should not show a temperature increase.</t>
  </si>
  <si>
    <t>Core Practical – Investigating Respiration</t>
  </si>
  <si>
    <t>2.39 practical: investigate the evolution of carbon dioxide and heat from respiring seeds or other suitable living organisms</t>
  </si>
  <si>
    <t>Page 14
Lab Book: Pages 34−37</t>
  </si>
  <si>
    <t>2 × conical flasks or vacuum flasks
2 × thermometers
Beaker / test tube for limewater
Boiled pea seeds (same number as germinating)
Cotton wool
Delivery tube + bung
Germinating pea seeds (soaked 24-48h)
Limewater (calcium hydroxide solution)</t>
  </si>
  <si>
    <t>Wear eye protection throughout this practical.
Take care with hot apparatus. Do not touch hot equipment directly. Use tongs or heat-proof mats.
Wash hands after handling plant material. Check for allergies before handling seeds.
Handle glassware carefully. Report any breakages to the teacher immediately.</t>
  </si>
  <si>
    <t>Lesson 22 — Core Practical – Investigating Respiration
Specification Points:
2.39 practical: investigate the evolution of carbon dioxide and heat from respiring seeds or other suitable living organisms
Page 14
Lab Book: Pages 34−37
Requisitions:
2 × conical flasks or vacuum flasks
2 × thermometers
Beaker / test tube for limewater
Boiled pea seeds (same number as germinating)
Cotton wool
Delivery tube + bung
Germinating pea seeds (soaked 24-48h)
Limewater (calcium hydroxide solution)
Notes:
Wear eye protection throughout this practical.
Take care with hot apparatus. Do not touch hot equipment directly. Use tongs or heat-proof mats.
Wash hands after handling plant material. Check for allergies before handling seeds.
Handle glassware carefully. Report any breakages to the teacher immediately.</t>
  </si>
  <si>
    <t>• investigate the evolution of carbon dioxide from respiring seeds or small animals
• distinguish between qualitative and quantitative tests
• understand the concept of an experimental control.</t>
  </si>
  <si>
    <t>• control: an experimental control is a repeat of an experiment in which the independent variable is not applied. Comparisons are made between the results and the control.
• hydrogen carbonate indicator: an indicator solution that is used to detect carbon dioxide. It is red when the concentration of carbon dioxide is the same as the atmosphere. It is yellow at high carbon dioxide concentrations and purple at low carbon dioxide concentrations.
• limewater: a clear, colourless solution that turns milky in the presence of carbon dioxide
• qualitative: data that is in words, such as colours
• quantitative: data that is in numbers
• sodium hydroxide solution: a solution that absorbs carbon dioxide</t>
  </si>
  <si>
    <t>Core Practical – Applications of Anaerobic Respiration in Yeast</t>
  </si>
  <si>
    <t>5.5 understand the role of yeast in the production of food including bread
5.6 practical: investigate the role of anaerobic respiration by yeast in different conditions</t>
  </si>
  <si>
    <t>Pages 282–284</t>
  </si>
  <si>
    <t>Conical flasks / boiling tubes
Cotton wool (optional)
Delivery tubes + bungs
Dried yeast
Glucose solution (different concentrations)
Limewater or inverted measuring cylinder
Stopwatch / timer
Thermometers
Water baths at different temperatures
malt extract Bunsen burner
stirring rod
glass bottle with cap
permanent marker pen
Petri dishes (sterile)
adhesive tape</t>
  </si>
  <si>
    <t>Wear eye protection throughout this practical.
Take care with hot apparatus. Do not touch hot equipment directly. Use tongs or heat-proof mats.
Handle glassware carefully. Report any breakages to the teacher immediately.</t>
  </si>
  <si>
    <t>Lesson 23 — Core Practical – Applications of Anaerobic Respiration in Yeast
Specification Points:
5.5 understand the role of yeast in the production of food including bread
5.6 practical: investigate the role of anaerobic respiration by yeast in different conditions
Pages 282–284
Requisitions:
Conical flasks / boiling tubes
Cotton wool (optional)
Delivery tubes + bungs
Dried yeast
Glucose solution (different concentrations)
Limewater or inverted measuring cylinder
Stopwatch / timer
Thermometers
Water baths at different temperatures
malt extract Bunsen burner
stirring rod
glass bottle with cap
permanent marker pen
Petri dishes (sterile)
adhesive tape
Notes:
Wear eye protection throughout this practical.
Take care with hot apparatus. Do not touch hot equipment directly. Use tongs or heat-proof mats.
Handle glassware carefully. Report any breakages to the teacher immediately.</t>
  </si>
  <si>
    <t>• investigate the evolution of carbon dioxide from yeast during anaerobic respiration
• explain why yeast is used to make bread dough rise and to produce alcoholic drinks
• identify quantitative data as being discrete or continuous.</t>
  </si>
  <si>
    <t>• discrete: data in which values can only have certain numbers is discrete. For example, shoe sizes are discrete. Compare this with foot length.
• continuous: data in which any value is possible within a certain range is continuous. For example, foot length is continuous. Compare this with shoe sizes.
• fermentation: using anaerobic respiration in microorganisms to produce useful products. However, the word is sometimes used to mean any metabolic process in microorganisms.</t>
  </si>
  <si>
    <t>Using Bacteria to Produce Food on an Industrial Scale</t>
  </si>
  <si>
    <t>5.7 understand the role of bacteria (Lactobacillus) in the production of yoghurt
5.8 understand the use of an industrial fermenter and explain the need to provide suitable conditions in the fermenter, including aseptic precautions, nutrients, optimum temperature and pH, oxygenation and agitation, for the growth of microorganisms</t>
  </si>
  <si>
    <t>Pages 284–286</t>
  </si>
  <si>
    <t>Aseptic precautions
What is used to make aseptic conditions inside a fermenter?
aseptic precautions</t>
  </si>
  <si>
    <t>Lesson 24 — Using Bacteria to Produce Food on an Industrial Scale
Specification Points:
5.7 understand the role of bacteria (Lactobacillus) in the production of yoghurt
5.8 understand the use of an industrial fermenter and explain the need to provide suitable conditions in the fermenter, including aseptic precautions, nutrients, optimum temperature and pH, oxygenation and agitation, for the growth of microorganisms
Pages 284–286</t>
  </si>
  <si>
    <t>• explain why Lactobacillus is used to make yoghurt
• describe the use of an industrial fermenter
• explain the conditions needed in an industrial fermenter.</t>
  </si>
  <si>
    <t>• aseptic: free from contamination by microorganisms
• fermenter: a large container that is used for fermentation by microorganisms
• starter culture: microorganisms that are used to start the fermentation process
• sterile: free from contamination by microorganisms</t>
  </si>
  <si>
    <t>Our Survival Depends on the Sun</t>
  </si>
  <si>
    <t>2.18 understand the process of photosynthesis and its importance in the conversion of light energy to chemical energy 
2.19 know the word equation and the balanced chemical symbol equation for photosynthesis</t>
  </si>
  <si>
    <t>Pages 5–6 and 135–138</t>
  </si>
  <si>
    <t>eye protection
5 ml test tubes, racks and bungs
Benedict’s reagent
water bath set at 80 °C
marker pen
spatulas
test tubes and rack
pipette
distilled water
paper towels
access to various food samples, e.g. biscuit, cake, fruits, milk, cheese, potato, lemonade</t>
  </si>
  <si>
    <t>• There are no safety concerns to consider for this practical.</t>
  </si>
  <si>
    <t>Lesson 27 — Our Survival Depends on the Sun
Specification Points:
2.18 understand the process of photosynthesis and its importance in the conversion of light energy to chemical energy 
2.19 know the word equation and the balanced chemical symbol equation for photosynthesis
Pages 5–6 and 135–138
Requisitions:
eye protection
5 ml test tubes, racks and bungs
Benedict’s reagent
water bath set at 80 °C
marker pen
spatulas
test tubes and rack
pipette
distilled water
paper towels
access to various food samples, e.g. biscuit, cake, fruits, milk, cheese, potato, lemonade
Notes:
Take care with hot apparatus. Do not touch hot equipment directly. Use tongs or heat-proof mats.
Wear eye protection throughout the practical.
Handle glassware carefully. Report any breakages to the teacher immediately.</t>
  </si>
  <si>
    <t>• identify the reactants and products for photosynthesis
• recall the word and symbol equations for photosynthesis
• describe the reaction of photosynthesis and its importance.</t>
  </si>
  <si>
    <t>• biomass: the total mass of organic matter in organisms
• chlorosis: yellowing of plant leaves as a result of mineral deficiency or infection
• stomata (singular, stoma): small openings on the lower surface of a leaf through which gases can diffuse
• xylem: tissue that is found in plant leaves, stems and roots and is responsible for the transport of water and mineral ions from the roots to other parts of the plant</t>
  </si>
  <si>
    <t>1. Sprinkle soaked cress seeds over each damp filter paper in each Petri dish.
2. Place a lid on each dish and keep them in a warm, dark place until the seeds germinate.
3. Take one dish out of the dark place and expose it to light. Keep it hydrated so the seedlings do not dry out.
4. Keep the other Petri dish in the dark.
1. Using whatever materials from those you have been given that you think are suitable, make a 3D model of a chloroplast or part of a chloroplast.
2. Use cocktail sticks to make flag labels and label a granum, and show where the chlorophyll is located.
3. You may also label the stroma and envelope.</t>
  </si>
  <si>
    <t>Core Practical – Factors that Affect Photosynthesis</t>
  </si>
  <si>
    <t>2.20 understand how varying carbon dioxide concentration, light intensity and temperature affect the rate of photosynthesis
2.23 practical: investigate photosynthesis, showing the evolution of oxygen from a water plant</t>
  </si>
  <si>
    <t>Pages 142–144 and 149–151
Lab Book: Pages 25–26</t>
  </si>
  <si>
    <t>Beaker
Lamp
NaHCO3 (sodium hydrogen carbonate) solution
Pondweed (Elodea)
Ruler
Stopwatch
Thermometer
eye protection
marker pen
spatulas
test tubes and rack
biuret reagent
pipette
paper towels
access to various food samples, e.g. cooked chicken, cooked fish, cheese, milk, tofu, Quorn, bread, rice</t>
  </si>
  <si>
    <t>Wear eye protection throughout the practical.
Wash hands after handling plant material. Check for allergies before handling seeds.
Handle glassware carefully. Report any breakages to the teacher immediately.</t>
  </si>
  <si>
    <t>Lesson 28  — Core Practical – Factors that Affect Photosynthesis
Specification Points:
2.20 understand how varying carbon dioxide concentration, light intensity and temperature affect the rate of photosynthesis
2.23 practical: investigate photosynthesis, showing the evolution of oxygen from a water plant
Pages 142–144 and 149–151
Lab Book: Pages 25–26
Requisitions:
Beaker
Lamp
NaHCO3 (sodium hydrogen carbonate) solution
Pondweed (Elodea)
Ruler
Stopwatch
Thermometer
eye protection
marker pen
spatulas
test tubes and rack
biuret reagent
pipette
paper towels
access to various food samples, e.g. cooked chicken, cooked fish, cheese, milk, tofu, Quorn, bread, rice
Notes:
Wear eye protection throughout the practical.
Wash hands after handling plant material. Check for allergies before handling seeds.
Handle glassware carefully. Report any breakages to the teacher immediately.</t>
  </si>
  <si>
    <t>• describe how light intensity, carbon dioxide concentration and temperature affect the rate of photosynthesis
• analyse data from investigations into how light intensity, carbon dioxide concentration and temperature affect the rate of photosynthesis
• explain how light intensity, carbon dioxide concentration and temperature affect the rate of photosynthesis.</t>
  </si>
  <si>
    <t>• limiting factor: any factor that, when not available in sufficient amounts, slows down the rate of a reaction; the factor that is in shortest supply will be the main limiting factor
• independent variable: the condition you change
• dependent variable: the variable that depends on the condition you change
• control variable: a variable that does not change</t>
  </si>
  <si>
    <t>Core Practical – The Structure of a Leaf</t>
  </si>
  <si>
    <t>2.21 describe the structure of the leaf and explain how it is adapted for photosynthesis
2.23 practical: investigate photosynthesis, the production of starch and the requirements of light, carbon dioxide and chlorophyll</t>
  </si>
  <si>
    <t>Pages 136–140
Lab Book: Pages 29–30</t>
  </si>
  <si>
    <t>eye protection
section of potato (blended and mixed with an equal volume of distilled water or
small piece of liver)
dilute hydrogen peroxide
test tube
bung and delivery tube
large beaker with water
splint and Bunsen flame
biological washing powder/liquid</t>
  </si>
  <si>
    <t>• Take care with slides and coverslips. They break easily and can be sharp.
• There are no safety considerations to consider with setting up this practical.</t>
  </si>
  <si>
    <t>Lesson 29 — Core Practical – The Structure of a Leaf
Specification Points:
2.21 describe the structure of the leaf and explain how it is adapted for photosynthesis
2.23 practical: investigate photosynthesis, the production of starch and the requirements of light, carbon dioxide and chlorophyll
Pages 136–140
Lab Book: Pages 29–30
Requisitions:
eye protection
section of potato (blended and mixed with an equal volume of distilled water or
small piece of liver)
dilute hydrogen peroxide
test tube
bung and delivery tube
large beaker with water
splint and Bunsen flame
biological washing powder/liquid
Notes:
Take care with slides and coverslips. They break easily and can be sharp.
Take care with hot apparatus. Do not touch hot equipment directly. Use tongs or heat-proof mats.
Wear eye protection throughout the practical.
Hydrogen peroxide is an irritant. Wear eye protection and avoid skin contact.
Handle glassware carefully. Report any breakages to the teacher immediately.</t>
  </si>
  <si>
    <t>• label a diagram of a cross-section of a leaf
• describe the functions of the different tissues in a leaf
• explain how the structure of a leaf adapts it for its function of photosynthesis.</t>
  </si>
  <si>
    <t>• palisade mesophyll: column-shaped cells near the upper surface of the leaf, packed with chloroplasts for photosynthesis
• spongy mesophyll: loosely packed cells with air spaces to allow gas diffusion
• epidermis: outer layer of cells on the leaf surface
• cuticle: waxy waterproof layer on the leaf surface that reduces water loss
• stomata: small pores on the underside of a leaf that allow gas exchange
• vascular bundle: group of xylem and phloem vessels in a leaf</t>
  </si>
  <si>
    <t>1. Place the slide on the stage of the microscope and use the lowest magnification objective lens.
2. Use the coarse focus knob and bring the low power objective down as far as it will go.
3. Next look down the eyepiece/ocular tube and slowly, using the coarse focus knob, move the objective lens away from the slide until the cells come into focus.
4. Next move the slide until you see the central part with the midrib vascular bundle and can see all the layers of the cell.
5. Use a sharp HB pencil and draw a low-power plan of the part of the leaf you can see. A plan just shows where the different regions are but does NOT show any cells. Draw this in your exercise book or on a plain piece of paper that you can stick into your exercise book. Give the drawing a heading and state the total magnification used (total magnification = eyepiece lens magnification \(\times\) objective lens magnification).
6. Next put the higher power objective lens in place and use the fine focus knob to bring the cells into focus.
7. Using a sharp HB pencil draw one or two cells and label the structures you can see.
1. Choose a leaf on the de-starched plant and fix some aluminium foil over part of the leaf.
2. Leave the plant in the light for 24 hours.</t>
  </si>
  <si>
    <t>Core Practical – Photosynthesis Investigations</t>
  </si>
  <si>
    <t>2.23 practical: investigate photosynthesis, the production of starch and the requirements of light, carbon dioxide and chlorophyll</t>
  </si>
  <si>
    <t>Pages 136–138
Lab Book: Pages 27−30</t>
  </si>
  <si>
    <t>forceps
water bath set at 10⁰ °C
destarched plant (plant that has been deprived of light)
plant that has been exposed to light for 24 hours
boiling tubes and racks
ethanol
waterproof marker pen
water bath set at 80 °C
beaker of cold water
white tile
iodine in potassium iodide solution in a dropper bottle</t>
  </si>
  <si>
    <t>Wear eye protection throughout this practical.
Take care with ethanol.
Take care with hot water.
Remember that ethanol is flammable. Keep it away from flames.
Take care with hot apparatus. Do not touch hot equipment directly. Use tongs or heat-proof mats.
Take care with staining solutions; they can stain skin and clothing. Wash off splashes immediately.
Handle glassware carefully. Report any breakages to the teacher immediately.</t>
  </si>
  <si>
    <t>Lesson 30  — Core Practical – Photosynthesis Investigations
Specification Points:
2.23 practical: investigate photosynthesis, the production of starch and the requirements of light, carbon dioxide and chlorophyll
Pages 136–138
Lab Book: Pages 27−30
Requisitions:
forceps
water bath set at 100 °C
destarched plant (plant that has been deprived of light)
plant that has been exposed to light for 24 hours
boiling tubes and racks
ethanol
waterproof marker pen
water bath set at 80 °C
beaker of cold water
white tile
iodine in potassium iodide solution in a dropper bottle
Notes:
Wear eye protection throughout this practical.
Take care with ethanol.
Take care with hot water.
Remember that ethanol is flammable. Keep it away from flames.
Take care with hot apparatus. Do not touch hot equipment directly. Use tongs or heat-proof mats.
Take care with staining solutions; they can stain skin and clothing. Wash off splashes immediately.
Handle glassware carefully. Report any breakages to the teacher immediately.</t>
  </si>
  <si>
    <t>• test variegated leaves for the presence of starch
• test leaves that have been left in the light and dark for the presence of starch
• test leaves that have been deprived of carbon dioxide for the presence of starch.</t>
  </si>
  <si>
    <t>• iodine test: a test for starch; iodine solution turns blue-black in the presence of starch
• destarching: leaving a plant in the dark so it uses up its starch reserves
• chlorophyll: green pigment in chloroplasts that absorbs light energy for photosynthesis
• variegated: a leaf with areas of green and white, where white areas lack chlorophyll</t>
  </si>
  <si>
    <t>Term 2</t>
  </si>
  <si>
    <t>Increasing the Growth of Plants</t>
  </si>
  <si>
    <t>2.22 understand that plants require mineral ions for growth, and that magnesium ions are needed for chlorophyll and nitrate ions are needed for amino acids
4.17 understand the biological consequences of eutrophication caused by leached minerals from fertiliser
5.3 understand how the use of fertiliser can increase crop yield</t>
  </si>
  <si>
    <t>Pages 145–147, 207–208, 217–218</t>
  </si>
  <si>
    <t>Lesson 31 — Increasing the Growth of Plants
Specification Points:
2.22 understand that plants require mineral ions for growth, and that magnesium ions are needed for chlorophyll and nitrate ions are needed for amino acids
4.17 understand the biological consequences of eutrophication caused by leached minerals from fertiliser
5.3 understand how the use of fertiliser can increase crop yield
Pages 145–147, 207–208, 217–218</t>
  </si>
  <si>
    <t>• understand how plants obtain the mineral ions, essential for growth, from the soil via roots
• explain the role of magnesium ions and nitrate ions in the growth of plants
• identify mineral ion deficiencies in plants showing symptoms of poor growth
• explain how fertilisers can increase crop yield
• describe how minerals leached from excess fertiliser and/or manure may cause eutrophication.</t>
  </si>
  <si>
    <t>• eutrophication: a process during which nutrients such as nitrates and phosphates enter water courses and promote an increase in algae that eventually leads to depletion of dissolved oxygen
• macronutrients: nutrients that are required in large amounts
• micronutrients: nutrients that are required in small amounts</t>
  </si>
  <si>
    <t>Increasing Yield Using Glasshouses</t>
  </si>
  <si>
    <t>5.1 describe how glasshouses and polythene tunnels can be used to increase the yield of certain crops
5.2 understand the effects on crop yield of increased carbon dioxide and increased temperature in glasshouses</t>
  </si>
  <si>
    <t>Pages 147 and 206–207</t>
  </si>
  <si>
    <t>Lesson 32 — Increasing Yield Using Glasshouses
Specification Points:
5.1 describe how glasshouses and polythene tunnels can be used to increase the yield of certain crops
5.2 understand the effects on crop yield of increased carbon dioxide and increased temperature in glasshouses
Pages 147 and 206–207</t>
  </si>
  <si>
    <t>• understand that glasshouses and polythene tunnels can be used to increase yield for some crops
• identify how factors can be controlled in a polythene tunnel and glasshouse
• explain the effects of increasing carbon dioxide and temperature on the growth of plants in glasshouse
• understand the effects on crop yield of increased carbon dioxide and increased temperature in glasshouses.</t>
  </si>
  <si>
    <t>• glasshouse: an enclosed structure made of glass or plastic used to control growing conditions
• polythene tunnel: a tunnel covered in clear polythene used to increase crop yield
• yield: the amount of useful product obtained from a crop
• photosynthesis rate: the speed at which a plant converts carbon dioxide and water into glucose using light energy</t>
  </si>
  <si>
    <t>Gas Exchange in a Leaf</t>
  </si>
  <si>
    <t>2.40B understand the role of diffusion in gas exchange
2.41B understand gas exchange (of carbon dioxide and oxygen) in relation to respiration and photosynthesis 
2.44B understand how respiration continues during the day and night, but that the net exchange of carbon dioxide and oxygen depends on the intensity of light</t>
  </si>
  <si>
    <t>Pages 139–142, 159 and 161–162</t>
  </si>
  <si>
    <t>Lesson 33 — Gas Exchange in a Leaf
Specification Points:
2.40B understand the role of diffusion in gas exchange
2.41B understand gas exchange (of carbon dioxide and oxygen) in relation to respiration and photosynthesis 
2.44B understand how respiration continues during the day and night, but that the net exchange of carbon dioxide and oxygen depends on the intensity of light
Pages 139–142, 159 and 161–162</t>
  </si>
  <si>
    <t>• describe the gases that enter and leave a leaf by diffusion
• explain that the net flow of gases into or from a leaf depends on the relative rates of photosynthesis and respiration
• interpret and explain data related to net diffusion of gases under different environmental conditions.</t>
  </si>
  <si>
    <t>• gas exchange: the movement of gases (oxygen and carbon dioxide) between an organism and its environment
• diffusion: the net movement of particles from an area of higher concentration to an area of lower concentration
• net gas exchange: the overall balance of gases entering and leaving an organism</t>
  </si>
  <si>
    <t>The Role of Stomata</t>
  </si>
  <si>
    <t>2.42B understand how the structure of the leaf is adapted for gas exchange 
2.43B describe the role of stomata in gas exchange</t>
  </si>
  <si>
    <t>Page 161</t>
  </si>
  <si>
    <t>thread
400 ml strong solution (0.5 mol/dm³
) of sucrose but tell students
it is a solution containing potassium ions
250 ml beaker
distilled water
pipette or syringe</t>
  </si>
  <si>
    <t>Wear eye protection when handling solutions.</t>
  </si>
  <si>
    <t>Lesson 34  — The Role of Stomata
Specification Points:
2.42B understand how the structure of the leaf is adapted for gas exchange 
2.43B describe the role of stomata in gas exchange
Page 161
Requisitions:
thread
400 ml strong solution (0.5 mol/dm³
) of sucrose but tell students
it is a solution containing potassium ions
250 ml beaker
distilled water
pipette or syringe
Notes:
Wear eye protection when handling solutions.</t>
  </si>
  <si>
    <t>• describe the function of different structures within the leaf
• explain how the leaf structures allow for gas exchange
• explain how stomata open and close and how this affects gas exchange.</t>
  </si>
  <si>
    <t>• stomata: small pores found mainly on the underside of a leaf that allow gas exchange
• guard cells: pairs of cells that surround each stoma and control its opening and closing
• transpiration: the loss of water vapour from the surface of a plant, mainly through stomata
• wilting: the drooping of a plant when water loss exceeds water uptake</t>
  </si>
  <si>
    <t>**Teaching session 1**
Image: Guard cells and stomata
Practical Method 1
**Teaching session 2**
Practical Method 2
Practical Method 3
**Teaching session 1**
Practical Method 1
**Teaching session 2**
Practical Method 2</t>
  </si>
  <si>
    <t>Core Practical – Investigating Gas Exchange</t>
  </si>
  <si>
    <t>2.45B practical: investigate the effect of light on net gas exchange from a leaf, using hydrogen-carbonate indicator</t>
  </si>
  <si>
    <t>Pages 18, 141–142 and 161
Lab Book: Pages 38−41</t>
  </si>
  <si>
    <t>8 boiling tubes in racks
waterproof marker pen
50 cm³ measuring cylinder or 20 cm syringe
hydrogen carbonate indicator solution
aluminium foil
Elodea
or leaves
tissue paper, transparent sticky tape
clock or timer
pH meter and probe
piece of sewing thread</t>
  </si>
  <si>
    <t>Wear eye protection throughout this practical.
Take care with the indicator solution.
Take care with glassware.
Take care with hot apparatus. Do not touch hot equipment directly. Use tongs or heat-proof mats.
Wash hands after handling plant material. Check for allergies before handling seeds.</t>
  </si>
  <si>
    <t>Lesson 35  — Core Practical – Investigating Gas Exchange
Specification Points:
2.45B practical: investigate the effect of light on net gas exchange from a leaf, using hydrogen-carbonate indicator
Pages 18, 141–142 and 161
Lab Book: Pages 38−41
Requisitions:
8 boiling tubes in racks
waterproof marker pen
50 cm³ measuring cylinder or 20 cm syringe
hydrogen carbonate indicator solution
aluminium foil
Elodea
or leaves
tissue paper, transparent sticky tape
clock or timer
pH meter and probe
piece of sewing thread
Notes:
Wear eye protection throughout this practical.
Take care with the indicator solution.
Take care with glassware.
Take care with hot apparatus. Do not touch hot equipment directly. Use tongs or heat-proof mats.
Wash hands after handling plant material. Check for allergies before handling seeds.</t>
  </si>
  <si>
    <t>• explain how hydrogen carbonate indicator solution can be used to show net gas exchange of a plant or leaf
• describe and evaluate the method used to investigate net gas exchange from a plant or leaf using hydrogen carbonate indicator solution
• evaluate the data from an investigation using hydrogen carbonate indicator solution to show net gas exchange.</t>
  </si>
  <si>
    <t>• gas exchange: the physical process by which gases move passively by diffusion across a surface, which usually involves oxygen and carbon dioxide moving in opposite directions to each other; also called gaseous exchange
• net: what remains from the whole after certain deductions have been made.</t>
  </si>
  <si>
    <t>Diffusion in Unicellular and Multicellular Organisms</t>
  </si>
  <si>
    <t>2.51 understand why simple, unicellular organisms can rely on diffusion for movement of substances in and out of the cell 
2.52 understand the need for a transport system in multicellular organisms</t>
  </si>
  <si>
    <t>Pages 16−18, 70−71 and 160</t>
  </si>
  <si>
    <t>Lesson 37  — Diffusion in Unicellular and Multicellular Organisms
Specification Points:
2.51 understand why simple, unicellular organisms can rely on diffusion for movement of substances in and out of the cell 
2.52 understand the need for a transport system in multicellular organisms
Pages 16−18, 70−71 and 160</t>
  </si>
  <si>
    <t>• recall the definition of diffusion
• calculate surface area to volume ratios for small and large objects
• explain why some organisms need a transport system, whereas others do not.</t>
  </si>
  <si>
    <t>• blood vessel: any tube that carries blood in the circulatory system
• capillary: narrowest type of blood vessel in the circulatory system
• circulatory system: organ system in animals that uses blood to carry substances to and from cells in tissues
• diffusion: the random movement and spreading of particles; there is a net (overall) diffusion of particles from regions of higher concentration to regions of lower concentration
• phloem tube: tube that carries sugars (and other substances for growth and repair) around a plant
• surface area to volume ratio (SA : V): a measure of the surface area available for substances to enter and leave a unit of volume. It is shown as a ratio or calculated by dividing surface area by volume. A small cell has a larger surface area to volume ratio than a large cell. So, a small cell has more surface area for substances to enter and leave a unit of volume
• vascular bundle: collection of both xylem vessels and phloem tubes in a plant
• xylem vessel: tube that carries water (and dissolved mineral ions) up through a plant</t>
  </si>
  <si>
    <t>Water Uptake</t>
  </si>
  <si>
    <t>2.55B understand how water is absorbed by root hair cells</t>
  </si>
  <si>
    <t>Pages 18 and 152−158</t>
  </si>
  <si>
    <t>Lesson 38 — Water Uptake
Specification Points:
2.55B understand how water is absorbed by root hair cells
Pages 18 and 152−158</t>
  </si>
  <si>
    <t>• recall the definition of osmosis
• explain the adaptations of roots and root hair cells
• explain that water enters the roots by osmosis across a partially permeable membrane.</t>
  </si>
  <si>
    <t>• flaccid: when a cell has lost internal pressure, so that the cytoplasm no longer pushes out against the cell membrane (and cell wall, in plants)
• osmosis: the overall movement of solvent molecules in a solution across a partially permeable membrane, from a dilute solution to a more concentrated one
• plasmolysed: when a cell lacks so much water that its cytoplasm and cell membrane shrink. In plants, the cell membrane pulls away from the cell wall
• turgid: when a cell has high internal pressure, so that the cytoplasm pushes out against the cell membrane (and cell wall, in plants)
• turgor: the state a plant is in when its cells are turgid
• water potential: level of freedom of water molecules in a solution; in pure water, the molecules are totally free to move, and so pure water has the highest water potential</t>
  </si>
  <si>
    <t>Transport of Water in Plants</t>
  </si>
  <si>
    <t>2.54 describe the role of xylem in transporting water and mineral ions from the roots to other parts of the plant</t>
  </si>
  <si>
    <t>Pages 158–161</t>
  </si>
  <si>
    <t>pale coloured flowers with long stems or young celery shoots with leaves
food dye
conical flask</t>
  </si>
  <si>
    <t>• Be careful using concentrated food dyes, which can stain clothes and skin.
• Be very careful with glass slides and coverslips. They break easily and can be sharp. Tell your teacher immediately if you break anything.
• Students should use toothpicks rather than traditional mounted needles to lower the coverslips. This reduces the risk of injury from sharp needles.
• Alternatives (e.g. if time is short), which do not require a worksheet: give students pre-prepared slides give students commercially purchased slides that show xylem vessels use a microscope with a video camera attachment to show xylem vessels on slides.
• Ensure that cavity slides are used for this practical and not flat ones (the plant material is generally too thick for flat slides, and so the coverslips will break).</t>
  </si>
  <si>
    <t>Lesson 39 — Transport of Water in Plants
Specification Points:
2.54 describe the role of xylem in transporting water and mineral ions from the roots to other parts of the plant
Pages 158–161
Requisitions:
pale coloured flowers with long stems or young celery shoots with leaves
food dye
conical flask
Notes:
Wear eye protection throughout this practical.
Be careful using concentrated food dyes, which can stain clothes and skin.</t>
  </si>
  <si>
    <t>• recall why plants need water and mineral ions
• describe the locations and role of xylem vessels in the transport of water and mineral ions
• describe the structural adaptations of xylem.</t>
  </si>
  <si>
    <t>• lignin: woody substance used to strengthen the walls of xylem vessels
• lumen: inside of a tube in biology
• phloem tube: tube that carries sugars (and other substances for growth and repair) around a plant
• vascular bundle: collection of xylem vessels and phloem tubes in a plant
• xylem vessel: tube that carries water (and dissolved mineral ions) up through a plant</t>
  </si>
  <si>
    <t>1. 24–48 hours before the lesson, place one (or more) flowers in dyed water.
2. Optional: Depending on the thickness of the stem, you could cut through the stem after showing the flower to the students. By using a video camera, you should be able to display the cut stem to students and show them the positions of the tubes that carry water.
1. Use the forceps to take a small piece of plant tissue (your specimen).
2. Put the plant tissue into the centre of the well in the cavity slide.
3. Add two drops of water to the tissue.
4. Use the toothpick to gently lower the coverslip onto the specimen.
5. Place a corner of paper towel next to the coverslip to soak up any escaping water.
6. Examine your slide using a microscope. You only need the lowest power objective lens.
7. Make a drawing of a xylem vessel and add notes to describe it.</t>
  </si>
  <si>
    <t>The Role of Transpiration</t>
  </si>
  <si>
    <t>2.56B understand that transpiration is the evaporation of water from the surface of a plant</t>
  </si>
  <si>
    <t>Pages 159–160</t>
  </si>
  <si>
    <t>small porous pot
bung for pot
thin tubing
large bowl (of warm water)
clamp stand
video camera (optional)</t>
  </si>
  <si>
    <t>Take great care if using glass tubing, which can easily break.</t>
  </si>
  <si>
    <t>Lesson 40  — The Role of Transpiration
Specification Points:
2.56B understand that transpiration is the evaporation of water from the surface of a plant
Pages 159–160
Requisitions:
small porous pot
bung for pot
thin tubing
large bowl (of warm water)
clamp stand
video camera (optional)
Notes:
Take great care if using glass tubing, which can easily break.</t>
  </si>
  <si>
    <t>• describe the structure of the cross-section of a leaf
• recall that the evaporation of water from the surface of a leaf is transpiration and that this leads to the movement of water into and through a plant
• describe the role of the spongy mesophyll and stomata in transpiration.</t>
  </si>
  <si>
    <t>• evaporation: when a liquid changes into a gas as energy is added (e.g. liquid water turns into water vapour when heated)
• transpiration: evaporation of water from the surface of a plant
• transpirational pull: upward force in the xylem vessels created by loss of water from the leaves by evaporation
• transpiration stream: the flow of water through the roots, up through the stem and out through the leaves</t>
  </si>
  <si>
    <t>**Teaching session 2**
Transpiration
The loss of water from leaves is called
transpiration
.
The flow of water in the roots, up the stem and out through the leaves is called
the
transpiration stream
.
You can think of transpiration occurring in two parts:
evaporation of liquid water from mesophyll cells to form water vapour in the air
spaces
diffusion of water out of the leaf, through the stomata.
Upwards against gravity
Weak forces of attraction between water molecules produce an unbroken 'chain of
water' in xylem vessels.
This 'chain of water' is pulled upwards by water evaporating from the leaves.
The force pulling the water is often called
transpirational
pull
.
Transpirational pull
Transpirational pull is caused by water loss from mesophyll cells. When water
evaporates from these cells, it lowers their water potential.
The lost water is then replaced by osmosis from surrounding mesophyll cells,
which have higher water potentials.
The water flows down the water potential gradient. As water moves through the
mesophyll cells, water is drawn out of the xylem vessels.
The importance of water
You will already know some of the functions of water in a plant. Water is needed:
as a raw material for photosynthesis
so that cells keep their shapes (e.g. to stop a plant wilting)
to carry dissolved mineral ions (e.g. nitrates needed to make proteins).
The role of the transpiration stream
Enzymes have an optimum temperature.
At temperatures above and below the optimum, they do not work so well.
If temperatures get too hot, enzymes denature and stop working.
If the enzymes involved in photosynthesis reactions do not work effectively, the
plant may not make enough food.
The cooling effect of evaporation
Sweat evaporating from your body helps to cool you down if you get too hot.
In the same way, water loss carries energy away from the plant and cools it
down.
This means that even on very hot days, the enzymes involved in photosynthesis
can continue to work effectively.</t>
  </si>
  <si>
    <t>Factors Affecting Transpiration</t>
  </si>
  <si>
    <t>2.57B understand how the rate of transpiration is affected by changes in humidity, wind speed, temperature and light intensity</t>
  </si>
  <si>
    <t>Pages 161−163</t>
  </si>
  <si>
    <t>Take great care using glass tubing, which can easily break.</t>
  </si>
  <si>
    <t>Lesson 41  — Factors Affecting Transpiration
Specification Points:
2.57B understand how the rate of transpiration is affected by changes in humidity, wind speed, temperature and light intensity
Pages 161−163
Notes:
Take great care using glass tubing, which can easily break.</t>
  </si>
  <si>
    <t>• describe transpiration
• identify factors that increase and decrease the rate of transpiration
• explain how humidity, wind speed, temperature and light intensity affect the rate of transpiration.</t>
  </si>
  <si>
    <t>• humidity:the amount of water vapour in the atmosphere
• kinetic energy:energy present in moving particles
• potometer:apparatus to measure the rate of transpiration
• rate of transpiration:the speed at which transpiration occurs</t>
  </si>
  <si>
    <t>**Teaching session 2**
Transpiration, humidity, wind speed and temperature
Revising diffusion
Diffusion is the overall movement of particles from a higher concentration to a lower
concentration. The movement is down the concentration gradient.
It is caused by particles in gases and liquids constantly moving in random
directions.
Diffusion occurs down a concentration gradient.
Changing concentration gradients
The greater the difference between concentrations, the faster the rate of diffusion.
Humidity
The amount of water vapour in the air is called humidity. (It is often shown as a
percentage, where 10⁰% is the maximum amount of water vapour that air at a certain
temperature can hold.)
Humidity and transpiration
The
less humid
the air, the less water vapour it contains. This
creates a
larger concentration gradient
between the inside and
the outside of a leaf, which makes
transpiration faster
.
More humid
air contains more water vapour. More humid air makes the
concentration gradient
less steep
between the
inside and the outside of a leaf, which makes
transpiration slower
.
Increasing
humidity
decreases
the rate of transpiration.
Humidity around leaves
The water molecules that diffuse out of a leaf make the air more humid. As time goes
on:
Wind speed and transpiration
If there is a
wind blowing
, water molecules cannot collect near a
leaf and so the air around the leaf
does not get more humid
. The
concentration gradient remains steep
.
Increasing
wind speed
increases
the rate of transpiration.
Temperature and diffusion
Temperature also affects diffusion. At
higher temperatures
,
molecules have
more kinetic energy
. This means that they move
faster, which means that
diffusion happens faster
.
Increasing
temperature
increases
the rate of
transpiration.
Temperature and evaporation
At
higher temperatures
, more molecules escape from a liquid to form
a gas.
Evaporation is faster
.
Evaporation occurs faster inside leaves on warmer days. This
increases the
concentration gradient
of water vapour between the inside of a
leaf and the outside, and so
diffusion is faster
.
Increasing
temperature
increases
the rate of
transpiration.
Summary
The diagram shows how different factors can affect the rate of transpiration.</t>
  </si>
  <si>
    <t>Core Practical – Investigating Transpiration</t>
  </si>
  <si>
    <t>2.58B practical: investigate the role of environmental factors in determining the rate of transpiration from a leafy shoot</t>
  </si>
  <si>
    <t>Pages 162–163
Lab Book: Pages 48–52</t>
  </si>
  <si>
    <t>potometer
large bowl of water
4 leafy shoots (with cut ends of stems underwater)
timer (e.g. stopclock)
petroleum jelly
access to a dark area (e.g. a cupboard)
access to wind generator (e.g. hairdryer / fan)
thermometer</t>
  </si>
  <si>
    <t>Take care with pushing the stem into the potometer. Do not use excessive force, since this may break the tubing.
Report any spills of water immediately to the teacher.</t>
  </si>
  <si>
    <t>Lesson 42  — Core Practical – Investigating Transpiration
Specification Points:
2.58B practical: investigate the role of environmental factors in determining the rate of transpiration from a leafy shoot
Pages 162–163
Lab Book: Pages 48–52
Requisitions:
potometer
large bowl of water
4 leafy shoots (with cut ends of stems underwater)
timer (e.g. stopclock)
petroleum jelly
access to a dark area (e.g. a cupboard)
access to wind generator (e.g. hairdryer / fan)
thermometer
Notes:
Take care with pushing the stem into the potometer. Do not use excessive force, since this may break the tubing.
Report any spills of water immediately to the teacher.</t>
  </si>
  <si>
    <t>• describe ways in which the rate of transpiration can be measured
• explain how to use a potometer to investigate the effects of different factors on the rate of transpiration
• calculate percentage loss of mass.</t>
  </si>
  <si>
    <t>• transpiration: the loss of water vapour from a plant through the stomata
• potometer: a piece of apparatus used to measure the rate of water uptake (as an estimate of transpiration)
• environmental factors: conditions such as light intensity, temperature, humidity and wind speed that affect transpiration rate</t>
  </si>
  <si>
    <t>Translocation in Phloem Tissue</t>
  </si>
  <si>
    <t>2.53 describe the role of phloem in transporting sucrose and amino acids between the leaves and other parts of the plant</t>
  </si>
  <si>
    <t>Pages 140–160</t>
  </si>
  <si>
    <t>Lesson 43  — Translocation in Phloem Tissue
Specification Points:
2.53 describe the role of phloem in transporting sucrose and amino acids between the leaves and other parts of the plant
Pages 140–160</t>
  </si>
  <si>
    <t>• recall where sugars are made in a plant
• describe the structure of phloem and the adaptations for transport
• describe the role of phloem in transporting sucrose and amino acids.</t>
  </si>
  <si>
    <t>• phloem tissue: tissue composed of living tubes that transports organic substances such as sucrose and amino acids around the plant
• translocation: the process by which dissolved sucrose and other organic molecules are transported in phloem tissue</t>
  </si>
  <si>
    <t>Tropic Responses of Plants to Stimuli</t>
  </si>
  <si>
    <t>2.83 understand that plants respond to stimuli
2.84 describe the geotropic and phototropic responses of roots and stems</t>
  </si>
  <si>
    <t>Pages 168–169</t>
  </si>
  <si>
    <t>kitchen towel
large seeds (e.g. broad bean)
glass beaker
forceps</t>
  </si>
  <si>
    <t>Check on the safety of any seeds chosen in terms of toxicity and any possible allergic reactions.
Wash hands after handling plant material. Check for allergies before handling seeds.</t>
  </si>
  <si>
    <t>Lesson 44   — Tropic Responses of Plants to Stimuli
Specification Points:
2.83 understand that plants respond to stimuli
2.84 describe the geotropic and phototropic responses of roots and stems
Pages 168–169
Requisitions:
kitchen towel
large seeds (e.g. broad bean)
glass beaker
forceps
Notes:
Check on the safety of any seeds chosen in terms of toxicity and any possible allergic reactions.
Wash hands after handling plant material. Check for allergies before handling seeds.</t>
  </si>
  <si>
    <t>• define the terms tropism, tropic response
• describe geotropic and phototropic responses
• explain how the tropic responses of shoots and roots help a plant&amp;rsquo;s survival.</t>
  </si>
  <si>
    <t>• clinostat:a platform that slowly turns and is used in experiments on plant tropisms
• geotropism:movement or growth of part of a plant in response to the force of gravity
• gravitropism:another term for geotropism
• phototropism:movement or growth of part of a plant in response to light
• stimulus:a change in the internal or external environment detected by an organism
• tropic response:a response in which part of an organism moves or grows towards or away from a stimulus
• tropism:another term for tropic response</t>
  </si>
  <si>
    <t>The Role of Auxin in Tropic Responses</t>
  </si>
  <si>
    <t>2.85 understand the role of auxin in the phototropic response of stems</t>
  </si>
  <si>
    <t>Pages 169–172</t>
  </si>
  <si>
    <t>seedling tray
compost
monocot seeds (e.g. barley / maize)
transparent food wrap
kitchen foil
scalpel
cardboard box with a horizontal slit cut in one end</t>
  </si>
  <si>
    <t>Check on the safety of any seeds chosen in terms of toxicity and any possible allergic reactions.
Take care with sharp instruments. Cut away from the body. Follow dissection safety guidelines.
Wash hands after handling plant material. Check for allergies before handling seeds.</t>
  </si>
  <si>
    <t>Lesson 45   — The Role of Auxin in Tropic Responses
Specification Points:
2.85 understand the role of auxin in the phototropic response of stems
Pages 169–172
Requisitions:
seedling tray
compost
monocot seeds (e.g. barley / maize)
transparent food wrap
kitchen foil
scalpel
cardboard box with a horizontal slit cut in one end
Notes:
Check on the safety of any seeds chosen in terms of toxicity and any possible allergic reactions.
Take care with sharp instruments. Cut away from the body. Follow dissection safety guidelines.
Wash hands after handling plant material. Check for allergies before handling seeds.</t>
  </si>
  <si>
    <t>• recall the phototropic response of plants
• describe the phototropic response as a hormonal response to the stimulus of light
• explain how auxin causes the phototropic response in stems.</t>
  </si>
  <si>
    <t>• auxin: a plant hormone or plant growth substance that controls cell elongation and plays a role in plant shoots' phototropic response</t>
  </si>
  <si>
    <t>Core Practical – Investigating Transpiration – Analysis</t>
  </si>
  <si>
    <t>Pages 161–163, 304–306
Lab Book: Pages 48–52</t>
  </si>
  <si>
    <t>Lesson 46  — Core Practical – Investigating Transpiration – Analysis
Specification Points:
2.58B practical: investigate the role of environmental factors in determining the rate of transpiration from a leafy shoot
Pages 161–163, 304–306
Lab Book: Pages 48–52</t>
  </si>
  <si>
    <t>• present investigation data using appropriate graphs
• analyse investigation data by calculating means and spotting anomalous results
• evaluate the validity, accuracy and reliability of investigation data.</t>
  </si>
  <si>
    <t>• accuracy: how close a reading is to the true value
• anomalous result: reading that does not match others in a group or a pattern
• bar chart: compares groups of qualitative data
• continuous data: data in which any value is possible within a certain range is continuous, e.g. foot length is continuous; compare this with shoe sizes
• control variable: variable that you try to stop from changing
• dependent variable: variable that is measured
• discrete: data in which values can only have certain numbers is discrete, e.g. shoe sizes are discrete; compare this with foot length
• experimental control: an experimental control is a repeat of an experiment in which the independent variable is not applied; comparisons are made between the results and the control
• histogram: compares frequencies in groups made from continuous data
• independent variable: variable that is changed by the investigator
• line graph: usually shows how a variable changes with time
• line of best fit: line drawn through the middle of a set of points
• mean: calculation to estimate the middle value of a data set
• outlier: another term for an anomalous result
• precision: how close repeated readings are to each other
• qualitative: data that is in words, such as colours
• quantitative: data that is in numbers
• randomerror: occasional mistake in making a measurement
• reliable: data that contains similar repeated measurements
• resolution: degree of accuracy obtained from a measuring device
• scatter graph: shows a relationship (link) between two variables
• systematicerror: mistake that affects all readings in a data set
• valid: whether something does what it is intended to do, e.g. a valid investigation is one in which control variables are properly controlled to produce results that answer the original question. Valid results are produced by a valid investigation. Valid conclusions are drawn from the results of a valid investigation (and only the results from that investigation)</t>
  </si>
  <si>
    <t>**Teaching session 1**
Presenting results in charts and graphs
Plotting charts and graphs
Identify the independent variable, which is usually shown in the first column of a table. The
independent variable data is plotted on the
x
-axis.
Identify the dependent variable, which is plotted on the
y
-axis.
Choose the appropriate type of graph: bar chart, histogram, line graph, scatter graph.
Choose scales for the
x
- and
y
-axes that allow you to use up most of the
graph paper.
The intervals on each scale must be equal.
Label the
x
- and
y
-axes and give the units. For example: mass (g).
Add a title. This is often based on: How [
independent variable
] affects [
dependent
variable
].
Presenting results in charts and graphs
Bar chart
Used to compare groups.
The
x-
axis usually has qualitative data (given in words).
The
y-
axis often has ‘number of things’ (frequency). This can make it a
frequency diagram.
Presenting results in charts and graphs
Bar chart
Draw bars neatly with a ruler and a pencil.
There is a gap between each bar (because the data is qualitative).
Presenting results in charts and graphs
Histogram
Used to compare frequencies of
groups
of continuous data (data in numbers that can have
any value in a certain range).
The
x-
axis has continuous data divided into groups.
The
y-
axis has a measure of frequency.
Presenting results in charts and graphs
Histogram
There are no gaps between the bars (because the data is continuous).
Presenting results in charts and graphs
Line graph
Mainly used to show how a variable changes with time.
The
x-
axis usually has time.
The
y-
axis has the variable.
Presenting results in charts and graphs
Line graph
Points on a line graph are usually joined with straight lines.
Presenting results in charts and graphs
Scatter graph
Used to find out if there is a link (relationship) between two variables.
Both variables are quantitative (in numbers).
Sometimes called scatter diagrams or scattergrams.
Presenting results in charts and graphs
Scatter graph
A line of best fit is often drawn through points on a scatter graph (to make a pattern clearer).
Presenting results in charts and graphs
Types of charts and graphs
Type
Independent variable (the one that is changed)
Dependent variable (the one that you measure)
Most common use
Bar chart
qualitative
quantitative
compare differences between groups
Histogram
grouped quantitative continuous
frequency
compare differences between groups created from continuous data
Line graph
time
quantitative
show changes in a variable with time
Scatter graph
quantitative
quantitative
show a link between two variables
Remember:
Quantitative
data is data in numbers. It can be
continuous
(have any value in a certain range) or
discrete
(have only a certain number of allowed values).
**Teaching session 2**
Validity
Something that is
valid
does what it is supposed to do. In a valid</t>
  </si>
  <si>
    <t>Test 3</t>
  </si>
  <si>
    <t>A yeast cellLook at the drawing. The best diagrams will have these features:a cell membranea cell walla nucleusone or more mitochondriacytoplasma vacuoleThe best diagrams will have these labels:all the parts clearly labelleda note that the cell wall is made of chitinYeast cells also have ribosomes, but you were not expected to include these.You should haveoneof these differences betweenChlorellaand yeast:cell walls made of different substancesChlorellahas a chloroplast/can photosynthesiseyeast release digestive enzymes in order to feed.You should haveoneof these similarities betweenChlorellaand yeast:have cell wallshave organelles with membranes/nuclei/mitochondriaare eukaryoteshave cytoplasmhave cell membrane</t>
  </si>
  <si>
    <t>Term 3</t>
  </si>
  <si>
    <t>A Balanced Diet</t>
  </si>
  <si>
    <t>2.24 understand that a balanced diet should include appropriate proportions of carbohydrate, protein, lipid, vitamins, minerals, water and dietary fibre 
2.25 identify the sources and describe the functions of carbohydrate, protein, lipid (fats and oils), vitamins A, C and D, the mineral ions calcium and iron, water and dietary fibre as components of the diet</t>
  </si>
  <si>
    <t>Pages 52–57</t>
  </si>
  <si>
    <t>Lesson 49  — A Balanced Diet
Specification Points:
2.24 understand that a balanced diet should include appropriate proportions of carbohydrate, protein, lipid, vitamins, minerals, water and dietary fibre 
2.25 identify the sources and describe the functions of carbohydrate, protein, lipid (fats and oils), vitamins A, C and D, the mineral ions calcium and iron, water and dietary fibre as components of the diet
Pages 52–57</t>
  </si>
  <si>
    <t>• describe the components of a balanced diet
• identify sources of the different components of a balanced diet
• describe the functions of the different components of a balanced diet.</t>
  </si>
  <si>
    <t>• adipose tissue: a tissue layer under the skin in which fats are stored
• antioxidant: a chemical, such as some vitamins, which stops a chemical reaction called oxidation occurring in cells, thus improving a person’s health
• balanced diet: a diet made up of all the required food groups, in sufficient amounts and the correct proportions to maintain health
• deficiency disease: a disease caused by a lack of certain foods; for example, lack of vitamin C
• egestion: the removal of undigested waste from the body as faeces
• proportion: parts of a substance in relation to the whole</t>
  </si>
  <si>
    <t>Energy Requirements</t>
  </si>
  <si>
    <t>2.26 understand how energy requirements vary with activity levels, age and pregnancy</t>
  </si>
  <si>
    <t>Pages 52–57 and 59–60</t>
  </si>
  <si>
    <t>Lesson 50  — Energy Requirements
Specification Points:
2.26 understand how energy requirements vary with activity levels, age and pregnancy
Pages 52–57 and 59–60</t>
  </si>
  <si>
    <t>• explain the need to include appropriate proportions of the different components of a balanced diet
• carry out calculations on energy in various foods and diets
• analyse and evaluate data on energy requirements for different people
• understand how diet plans vary according to nutritional requirements.</t>
  </si>
  <si>
    <t>• kwashiorkor: a disease caused by a deficiency of protein in the diet
• malnutrition: a condition when a person&amp;rsquo;s diet does not contain the correct amount of nutrients; it can refer to undernutrition (not receiving enough nutrients) and overnutrition (eating more nutrients than are needed)</t>
  </si>
  <si>
    <t>Core Practical – Investigating the Energy Content of Food</t>
  </si>
  <si>
    <t>2.33B practical: investigate the energy content in a food sample</t>
  </si>
  <si>
    <t>Pages 59–61
Lab Book: Pages 31–33</t>
  </si>
  <si>
    <t>eye protection
50 mL measuring cylinder boiling tubes
clamp, boss and stand
thermometer
access to a selection of foods to test (e.g. bread, pasta, crisps, peanuts, 0.5
g cooking oil in crucibles/watch glasses/very small beakers)
accurate balance Bunsen burner
heat-resistant mat
mounted needle
mineral wool
metal forceps
paper to insulate the forceps handles</t>
  </si>
  <si>
    <t>Wear eye protection.
Take care with the Bunsen burner.
Take care with hot apparatus. Do not touch hot equipment directly. Use tongs or heat-proof mats.
Handle glassware carefully. Report any breakages to the teacher immediately.</t>
  </si>
  <si>
    <t>Lesson 51  — Core Practical – Investigating the Energy Content of Food
Specification Points:
2.33B practical: investigate the energy content in a food sample
Pages 59–61
Lab Book: Pages 31–33
Requisitions:
eye protection
50 mL measuring cylinder boiling tubes
clamp, boss and stand
thermometer
access to a selection of foods to test (e.g. bread, pasta, crisps, peanuts, 0.5
g cooking oil in crucibles/watch glasses/very small beakers)
accurate balance Bunsen burner
heat-resistant mat
mounted needle
mineral wool
metal forceps
paper to insulate the forceps handles
Notes:
Wear eye protection.
Take care with the Bunsen burner.
Take care with hot apparatus. Do not touch hot equipment directly. Use tongs or heat-proof mats.
Handle glassware carefully. Report any breakages to the teacher immediately.</t>
  </si>
  <si>
    <t>• explain how the energy content of food can be measured
• identify the variables from the investigation and explain how they can be controlled
• compare the method used in the school laboratory to more sophisticated methods.</t>
  </si>
  <si>
    <t>• calorimeter: a scientific instrument that can be used to find the amount of energy in a sample of food</t>
  </si>
  <si>
    <t>The Human Alimentary Canal</t>
  </si>
  <si>
    <t>2.27 describe the structure and function of the human alimentary canal, including the mouth, oesophagus, stomach, small intestine (duodenum and ileum), large intestine (colon and rectum) and pancreas
2.28 understand how food is moved through the gut by peristalsis</t>
  </si>
  <si>
    <t>Pages 62–66</t>
  </si>
  <si>
    <t>a marble
a piece of rubber or plastic tubing that can hold the marble</t>
  </si>
  <si>
    <t>Lesson 52  — The Human Alimentary Canal
Specification Points:
2.27 describe the structure and function of the human alimentary canal, including the mouth, oesophagus, stomach, small intestine (duodenum and ileum), large intestine (colon and rectum) and pancreas
2.28 understand how food is moved through the gut by peristalsis
Pages 62–66
Requisitions:
a marble
a piece of rubber or plastic tubing that can hold the marble</t>
  </si>
  <si>
    <t>• label the components of the human digestive system
• describe the function of the components of the human alimentary canal
• explain how food is moved through the gut by peristalsis.</t>
  </si>
  <si>
    <t>• alimentary canal: the gut or digestive tract; consists of the mouth, oesophagus, stomach, small and large intestines, rectum and anus
• bolus: ball of food
• digestion: breaking down of large molecules to smaller, soluble molecules
• digestive system: organ system for digesting food; consists of the alimentary canal plus the salivary glands, liver and pancreas
• enzyme: biological catalyst that speeds up chemical reactions in the body
• gut: alimentary canal or digestive tract
• peristalsis: a series of wave-like muscle contractions that move substances through tubes in the body e.g. moving food along the alimentary canal</t>
  </si>
  <si>
    <t>Core Practical – The Process of Digestion</t>
  </si>
  <si>
    <t>2.17 practical: investigate diffusion and osmosis using living and non-living systems
2.29 understand the role of digestive enzymes, including the digestion of starch to glucose by amylase and maltase, the digestion of proteins to amino acids by proteases and the digestion of lipids to fatty acids and glycerol by lipases</t>
  </si>
  <si>
    <t>Pages  64–65
Lab Book: Pages 15–16</t>
  </si>
  <si>
    <t>eye protection
beaker – 500 mL capacity
Visking tubing – length of about 10 cm
cotton thread
pipette
solution containing glucose and starch
5 mL syringe (\(×\)2) dimple tile
test tubes and rack
iodine in potassium iodide solution in a dropper bottle
Benedict’s solution in a dropper bottle
access to water bath set at 80 °C</t>
  </si>
  <si>
    <t>• Do not drink any of the solutions.
• Take care with hot water in the water bath.
• Remember that Benedict’s solution can be harmful to skin and eyes.</t>
  </si>
  <si>
    <t>Lesson 53 — Core Practical – The Process of Digestion
Specification Points:
2.17 practical: investigate diffusion and osmosis using living and non-living systems
2.29 understand the role of digestive enzymes, including the digestion of starch to glucose by amylase and maltase, the digestion of proteins to amino acids by proteases and the digestion of lipids to fatty acids and glycerol by lipases
Pages  64–65
Lab Book: Pages 15–16
Requisitions:
eye protection
beaker – 500 mL capacity
Visking tubing – length of about 10 cm
cotton thread
pipette
solution containing glucose and starch
5 mL syringe (\(×\)2) dimple tile
test tubes and rack
iodine in potassium iodide solution in a dropper bottle
Benedict’s solution in a dropper bottle
access to water bath set at 80 °C
Notes:
Do not drink any of the solutions.
Take care with hot apparatus. Do not touch hot equipment directly. Use tongs or heat-proof mats.
Wear eye protection throughout the practical.
Take care with staining solutions; they can stain skin and clothing. Wash off splashes immediately.
Handle glassware carefully. Report any breakages to the teacher immediately.</t>
  </si>
  <si>
    <t>• describe the role of enzymes in digestion
• explain the digestion reactions catalysed by amylase, maltase, proteases and lipases
• explain why starch, proteins and lipids must be digested.</t>
  </si>
  <si>
    <t>• catabolic: a type of metabolic reaction where large molecules are broken down to smaller molecules
• gastric: to do with the stomach
• metabolic: to do with metabolism; it involves all the chemical reactions in cells that keep living organisms alive
• monomer: smaller units from which polymer molecules are made
• polymer: large molecules made from many monomers joined together; examples include proteins, starch, glycogen, cellulose and nucleic acids
• product: molecules produced during a reaction
• reactant: molecules taking part in a reaction</t>
  </si>
  <si>
    <t>1. Half fill a beaker with water.
2. Wrap a length of cotton thread tightly around one end of the Visking tubing and tie it tightly.
3. Dip the other end of the Viking tubing in the water and rub the end between finger and thumb. This will soften the tubing and allow you to open it.
4. Open the tubing and, using a pipette, fill the tubing with glucose and starch solution.
5. Using the cotton thread, close the other end of the tubing by wrapping the thread around it and tying tightly. You have now made a Visking bag that contains a mixture of starch and sugar.
6. Thoroughly rinse the Visking bag under a tap so that there is no starch and glucose solution on the outside of it.
7. Place the Visking bag into the beaker of water and start the timer.
8. Immediately, using a clean syringe, withdraw 5 mL of water from the beaker and place two drops into a well on a dimple tile and the rest into a test tube.
9. Add one drop of iodine solution to the liquid in the well of the dimple tile.
10. Using another clean 5 mL syringe, add 5 mL of Benedict’s solution to the liquid in the test tube and place the tube in the water bath.(Tell students: Recall your practical on food tests. Iodine solution tests for starch. If starch is present, the iodine in the potassium iodide becomes blue-black. Benedict’s reagent and heat is the test for glucose. A small amount of glucose will change Benedict’s reagent from blue to green. Higher concentrations of glucose change the Benedict’s reagent from blue to yellow or orange; a high amount of glucose changes Benedict’s solution red. )
11. Repeat steps 8–10 at intervals of every 30 seconds or every minute. Note when the water in the beaker contains glucose or starch.</t>
  </si>
  <si>
    <t>Absorption of Digested Food</t>
  </si>
  <si>
    <t>2.30 understand that bile is produced by the liver and stored in the gall bladder 
2.31 understand the role of bile in neutralising stomach acid and emulsifying lipids
2.32 understand how the small intestine is adapted for absorption, including the structure of a villus</t>
  </si>
  <si>
    <t>Pages 65–66</t>
  </si>
  <si>
    <t>Urea is toxic and is
Urea is toxic and is removed from the</t>
  </si>
  <si>
    <t>Lesson 54  — Absorption of Digested Food
Specification Points:
2.30 understand that bile is produced by the liver and stored in the gall bladder 
2.31 understand the role of bile in neutralising stomach acid and emulsifying lipids
2.32 understand how the small intestine is adapted for absorption, including the structure of a villus
Pages 65–66</t>
  </si>
  <si>
    <t>• know that bile is produced in the liver and stored in the gall bladder
• explain the role of bile in digestion
• describe the structure of the small intestine, including villi
• explain how the structure of the small intestine helps and increase the absorption of digested food.</t>
  </si>
  <si>
    <t>• bilirubin: made from old red blood and passed out of the body in faeces
• cholesterol: a type of lipid; essential for making nerve cells, bile salts and strengthening cell membranes; however, too much in the blood may increase the risk of heart disease
• chyme: an acid mixture of partly digested food, stomach acid and pepsin
• duct: a tube in the body
• emulsification: spreading small droplets of one liquid in another liquid
• hormone: a chemical messenger
• microvilli: small projections on the cell surface membrane of some cells, which increase the surface area
• villi: finger-like projections in the wall of the ileum (small intestine), which increase the surface area for absorption of digested food</t>
  </si>
  <si>
    <t>The Process of Ventilation</t>
  </si>
  <si>
    <t>2.46 describe the structure of the thorax, including the ribs, intercostal muscles, diaphragm, trachea, bronchi, bronchioles, alveoli and pleural membranes 
2.47 understand the role of the intercostal muscles and the diaphragm in ventilation</t>
  </si>
  <si>
    <t>Pages 39–42</t>
  </si>
  <si>
    <t>Lesson 55  — The Process of Ventilation
Specification Points:
2.46 describe the structure of the thorax, including the ribs, intercostal muscles, diaphragm, trachea, bronchi, bronchioles, alveoli and pleural membranes 
2.47 understand the role of the intercostal muscles and the diaphragm in ventilation
Pages 39–42</t>
  </si>
  <si>
    <t>• know the structures involved in ventilation (breathing)
• describe the functions of the different structures involved in ventilation
• explain the process of inhalation (breathing in) and exhalation (breathing out).</t>
  </si>
  <si>
    <t>• bronchi: part of the airways; they are fine branching tubes leading from the trachea into the lungs
• bronchioles: part of the airways; they are very fine branching tubes leading from the bronchi to the alveoli
• diaphragm: fibrous and muscular sheet of tissue that divides the thorax from the abdomen; its movements change the volume of the thorax and bring about ventilation
• intercostal muscles: muscles between the ribs; contraction of the muscles raises the ribcage up and out for inhalation
• thorax: chest
• trachea: airway; the tube carrying inspired air from the nose/mouth to the bronchi, each of which supplies a lung; the trachea also carries expired air from the lungs to the nose/mouth</t>
  </si>
  <si>
    <t xml:space="preserve">Lesson 56 </t>
  </si>
  <si>
    <t>Core Practical – Gas Exchange by Diffusion at the Alveoli</t>
  </si>
  <si>
    <t>2.48 explain how alveoli are adapted for gas exchange by diffusion between air in the lungs and blood in capillaries 
2.50 practical: investigate breathing in humans, including the release of carbon dioxide and the effect of exercise</t>
  </si>
  <si>
    <t>Pages 42–44
Lab Book: Pages 42–47</t>
  </si>
  <si>
    <t>2 boiling tubes
marker pen
rubber tubing, bungs and mouthpiece
disposable straws (1 per student)
limewater
200 mL syringes nose-clip
Ensure there is one mouthpiece for every student – these should not be
shared.
Ensure there is enough limewater for each student to carry out the practical
even though they will be sharing the huff and puff apparatus.</t>
  </si>
  <si>
    <t>Wear eye protection throughout this practical.
If you suffer from asthma or have any kind of chest/lung condition, then do not take part in the investigation but record data while others in the class do the exercise.
Take care with the limewater.
Take care with hot apparatus. Do not touch hot equipment directly. Use tongs or heat-proof mats.
Handle glassware carefully. Report any breakages to the teacher immediately.
Carbon dioxide has to be removed (excreted) because it is acidic. If
alkaline.
it is acidic.</t>
  </si>
  <si>
    <t>Lesson 56 — Core Practical – Gas Exchange by Diffusion at the Alveoli
Specification Points:
2.48 explain how alveoli are adapted for gas exchange by diffusion between air in the lungs and blood in capillaries 
2.50 practical: investigate breathing in humans, including the release of carbon dioxide and the effect of exercise
Pages 42–44
Lab Book: Pages 42–47
Requisitions:
2 boiling tubes
marker pen
rubber tubing, bungs and mouthpiece
disposable straws (1 per student)
limewater
200 mL syringes nose-clip
Ensure there is one mouthpiece for every student – these should not be
shared.
Ensure there is enough limewater for each student to carry out the practical
even though they will be sharing the huff and puff apparatus.
Notes:
Wear eye protection throughout this practical.
If you suffer from asthma or have any kind of chest/lung condition, then do not take part in the investigation but record data while others in the class do the exercise.
Take care with the limewater.
Take care with hot apparatus. Do not touch hot equipment directly. Use tongs or heat-proof mats.
Handle glassware carefully. Report any breakages to the teacher immediately.</t>
  </si>
  <si>
    <t>• describe the structure of an alveolus
• explain how alveoli are adapted for gas exchange
• describe practical work to show that carbon dioxide is released in exhaled air
• analyse practical data to explain the effect of exercise on breathing rate.</t>
  </si>
  <si>
    <t>• capillary: a small blood vessel; the walls are one-cell thick; the diameter is small so that red blood cells travel in single file; the speed of flow is low
• surfactant: surface active agent; it lowers surface tension and is a wetting agent; in the lungs, it keeps alveoli moist and prevents them from sticking together/collapsing</t>
  </si>
  <si>
    <t>The Effects of Smoking on the Body</t>
  </si>
  <si>
    <t>2.49 understand the biological consequences of smoking in relation to the lungs and the circulatory system, including coronary heart disease</t>
  </si>
  <si>
    <t>Pages 45–49</t>
  </si>
  <si>
    <t>Lesson 57 — The Effects of Smoking on the Body
Specification Points:
2.49 understand the biological consequences of smoking in relation to the lungs and the circulatory system, including coronary heart disease
Pages 45–49</t>
  </si>
  <si>
    <t>• explain the effects of smoking on the lungs and circulatory system
• evaluate data on the incidence of coronary heart disease in smokers
• explain the effects of cardiovascular disease (CVD) on the body.</t>
  </si>
  <si>
    <t>• bronchitis: inflammation of the bronchi/airways
• carcinogenic: can cause cancer
• chronic: illness that is long-lasting and incurable but may be treated
• correlation: the relationship between two or more things
• emphysema: lung disease caused by loss of alveoli; leads to breathlessness and extreme fatigue
• epidemiologist: a person who studies the incidence, distribution and control of diseases
• incidence: occurrence; rate or frequency of something, e.g. number of people per 100000 population with a disease
• pulmonary: relating to the lungs
• tumour: abnormal growth of tissue/lump of tissue/cells, which leads to a swelling/lump</t>
  </si>
  <si>
    <t>Components of Blood</t>
  </si>
  <si>
    <t>2.59 describe the composition of the blood: red blood cells, white blood cells, platelets and plasma
2.60 understand the role of plasma in the transport of carbon dioxide, digested food, urea, hormones and heat energy</t>
  </si>
  <si>
    <t>Pages 78–80</t>
  </si>
  <si>
    <t>Lesson 59  — Components of Blood
Specification Points:
2.59 describe the composition of the blood: red blood cells, white blood cells, platelets and plasma
2.60 understand the role of plasma in the transport of carbon dioxide, digested food, urea, hormones and heat energy
Pages 78–80</t>
  </si>
  <si>
    <t>• list and identify blood components
• recall the functions of blood components
• explain the role of plasma in the transport of carbon dioxide, digested food, urea, hormones and heat energy.</t>
  </si>
  <si>
    <t>• endocrine gland: gland that secretes hormones directly into the blood
• erythrocyte: another term for red blood cell
• haemoglobin: substance in red blood cells that can combine with oxygen
• hormone: a substance that can trigger changes in cells when they detect it
• leucocyte: another term for white blood cell
• lymphocyte: type of white blood cell that produces antibodies
• phagocyte: type of white blood cell that can engulf pathogens
• urea: a waste product formed from the breakdown of amino acids</t>
  </si>
  <si>
    <t xml:space="preserve">Lesson 60 </t>
  </si>
  <si>
    <t>Oxygen Carriage and Blood Clotting</t>
  </si>
  <si>
    <t>2.59 describe the composition of the blood: red blood cells, white blood cells, platelets and plasma
2.61 understand how adaptations of red blood cells make them suitable for the transport of oxygen, including shape, the absence of a nucleus and the presence of haemoglobin 
2.64B understand how platelets are involved in blood clotting, which prevents blood loss and the entry of micro-organisms</t>
  </si>
  <si>
    <t>items to model a blood vessel (e.g. cup, cardboard tube from toilet roll/kitchen
towel)
items to model platelets (e.g. small yellow buttons, stick on snowflakes, small
polystyrene spheres)
items to model red blood cells (e.g. large red buttons, large red stickers
large polystyrene spheres)
items to model white blood cells (e.g. large white buttons, large white
stickers, small polystyrene spheres)
items to model fibrin mesh (e.g. thread, string, supermarket fruit net, gauze)
scissors
sticky tape</t>
  </si>
  <si>
    <t>Do not use food items in the model.</t>
  </si>
  <si>
    <t>Lesson 60 — Oxygen Carriage and Blood Clotting
Specification Points:
2.59 describe the composition of the blood: red blood cells, white blood cells, platelets and plasma
2.61 understand how adaptations of red blood cells make them suitable for the transport of oxygen, including shape, the absence of a nucleus and the presence of haemoglobin 
2.64B understand how platelets are involved in blood clotting, which prevents blood loss and the entry of micro-organisms
Pages 78–80
Requisitions:
items to model a blood vessel (e.g. cup, cardboard tube from toilet roll/kitchen
towel)
items to model platelets (e.g. small yellow buttons, stick on snowflakes, small
polystyrene spheres)
items to model red blood cells (e.g. large red buttons, large red stickers
large polystyrene spheres)
items to model white blood cells (e.g. large white buttons, large white
stickers, small polystyrene spheres)
items to model fibrin mesh (e.g. thread, string, supermarket fruit net, gauze)
scissors
sticky tape
Notes:
Do not use food items in the model.</t>
  </si>
  <si>
    <t>• recall the roles of red blood cells and platelets
• explain how the structure of red blood cells makes them adapted to their function
• explain how platelets cause blood clots to form.</t>
  </si>
  <si>
    <t>• clotting: a process that takes place when a blood vessel is damaged; it prevents blood loss and entry of microorganisms
• deoxygenated blood:blood that is transporting small amounts of oxygen and a lot of carbon dioxide
• fibrin: insoluble strand of protein that forms a mesh to trap blood cells and subsequently form a clot
• fibrinogen: soluble protein in blood plasma changes to insoluble fibrin when a blood vessel is cut and blood clots
• oxygenated blood: blood that is transporting a large amount of oxygen
• oxyhaemoglobin: haemoglobin molecules with oxygen bound to them
• surface area to volume ratio (SA : V): a measure of the surface area available for substances to enter and leave a unit of volume</t>
  </si>
  <si>
    <t>Red blood cells1Which of these cell parts do red blood cells lack? Choose one.cell membranenucleuscytoplasmwaterAnswerB nucleus2Which equation best shows changes to haemoglobin in the circulatory system? Choose one.Answer3What shape is a red blood cell? Choose one.triconvex discbiconvex discbicon discbiconcave discAnswerD biconcave disc4How does the shape of a red blood cell affect its surface area to volume ratio? Choose one.does not changemakes it 0increasesdecreasesAnswerC increases5In which part of the circulatory system does deoxygenation of blood occur?veinsbody tissueslungsheartAnswerB body tissues</t>
  </si>
  <si>
    <t>The Immune System</t>
  </si>
  <si>
    <t>2.62 understand how the immune system responds to disease using white blood cells, illustrated by phagocytes ingesting pathogens and lymphocytes releasing antibodies specific to the pathogen</t>
  </si>
  <si>
    <t>Pages 79–80</t>
  </si>
  <si>
    <t>Lesson 61  — The Immune System
Specification Points:
2.62 understand how the immune system responds to disease using white blood cells, illustrated by phagocytes ingesting pathogens and lymphocytes releasing antibodies specific to the pathogen
Pages 79–80</t>
  </si>
  <si>
    <t>• identify the role of phagocytes and lymphocytes
• explain the role of phagocytes in engulfing pathogens
• explain the role of lymphocytes in the production of antibodies to a specific pathogen.</t>
  </si>
  <si>
    <t>• antibody:protein produced by lymphocytes in response to a particular antigen
• antigen: protein marker found on the surface of cells
• complementary: term used in biology to describe two things that fit together
• immune response: response by the immune system (such as a release of antibodies)
• immune system: body system that protects against diseases caused by pathogens
• phagocytosis:the process during which phagocytes ingest and destroy pathogens</t>
  </si>
  <si>
    <t>The Role of Vaccination</t>
  </si>
  <si>
    <t>2.63B understand how vaccination results in the manufacture of memory cells,which enable future antibody production to the pathogen to occur sooner, faster and in greater quantity</t>
  </si>
  <si>
    <t>A4-sized pieces of paper labelled 1–10 or small containers labelled</t>
  </si>
  <si>
    <t>Thanks to vaccines, many dangerous infectious diseases are much less common than</t>
  </si>
  <si>
    <t>Lesson 62 — The Role of Vaccination
Specification Points:
2.63B understand how vaccination results in the manufacture of memory cells,which enable future antibody production to the pathogen to occur sooner, faster and in greater quantity
Pages 79–80
Requisitions:
A4-sized pieces of paper labelled 1–10 or small containers labelled</t>
  </si>
  <si>
    <t>• describe how memory lymphocytes are produced when an antigen is encountered
• describe what vaccines are
• explain how the body responds to vaccination and what happens if the pathogen is subsequently encountered.</t>
  </si>
  <si>
    <t>• artificial immunity: being immune to a disease due to receiving a vaccine
• immune: unaffected by something; if you are immune to a disease, you cannot get it
• infectious disease: a disease caused by a pathogen from outside the body
• memory cell: type of long-lasting lymphocyte produced when a person is infected with a pathogen; they are important in a secondary immune response
• natural immunity: being immune to a disease because you have had the disease
• primary immune response: the first response by the immune system to certain antigens
• secondary immune response: the response by the immune system after encountering antigens for a second time
• vaccination: the process of giving someone a vaccine
• vaccine: substance containing dead or weakened pathogens, or parts of pathogens; it is used to make someone immune to a disease</t>
  </si>
  <si>
    <t>Test 4</t>
  </si>
  <si>
    <t>Bacterial cell partsThe table shows the main parts of a bacterial cell and their functions.Bacterial cell partFunctioncapsuleprotection and stopping the cell drying outcell membranecontrols entry and exit of substancescell wallprotectioncircular chromosomelarge loop of DNA that controls the cellcytoplasmwhere reactions occurflagellummovementplasmidsmall ring of DNA to control some cell functions</t>
  </si>
  <si>
    <t>The Structure and Function of the Heart</t>
  </si>
  <si>
    <t>2.65 describe the structure of the heart and how it functions</t>
  </si>
  <si>
    <t>Pages 73–75</t>
  </si>
  <si>
    <t>Lesson 63  — The Structure and Function of the Heart
Specification Points:
2.65 describe the structure of the heart and how it functions
Pages 73–75</t>
  </si>
  <si>
    <t>• recall the structure of the heart and identify its major parts
• describe how the heart pumps and the flow of blood through it
• describe the differences in blood oxygenation on different sides of the heart and in the different blood vessels.</t>
  </si>
  <si>
    <t>• aorta: major artery leading out of the heart, carrying blood to most of the body
• artery: blood vessel that transports blood away from the heart
• atrium: upper chamber in the heart that receives blood from the veins
• bicuspid valve: valve between the left atrium and left ventricle
• cardiac muscle: specialised muscle tissue found in the walls of the heart
• circulatory system: system that moves blood through the body; it consists of the heart, arteries, veins, capillaries and blood
• coronary artery: artery supplying the cardiac muscle with blood
• double circulatory system: circulatory system in which blood flows through the heart twice
• heartbeat: a complete cycle of the heart&amp;rsquo;s pumping, from when the atria are full of blood until the next time the atria are full
• heart rate: number of heartbeats in a unit of time, usually per minute (beats/min)
• heart valve: flap of tissue between chambers in the heart that stops blood flowing in the wrong direction when the heart muscle contracts
• pulmonary artery: blood vessel carrying deoxygenated blood from the heart to the lungs
• pulmonary vein: blood vessel carrying oxygenated blood from the lungs to the heart
• pulse: shockwave that travels through the walls of arteries leading from the heart
• semi-lunar valve: valve between a ventricle and an artery leaving the heart
• septum: muscular wall that separates the heart into two halves and prevents the mixing of oxygenated and deoxygenated blood
• tricuspid valve: valve between the right atrium and right ventricle
• vein: blood vessel that transports blood towards the heart
• vena cava: major vein leading to the heart, carrying blood back from most of the body (and divided into two parts)
• ventricle: lower chamber in the heart that pumps blood out into the arteries</t>
  </si>
  <si>
    <t>**Teaching session 2**
Practical Method Worksheet 1
**Teaching session 2**
Cardiac cycle
We can think about the heart pumping in several stages.
Blood enters the two atria.
Deoxygenated blood enters the right atrium from the vena cava.
Oxygenated blood enters the left atrium from the pulmonary vein.
The walls of the atria contract, making the atria smaller. This forces blood
through the bicuspid and tricuspid valves and into the ventricles.
The ventricles fill with blood.
The ventricles contract, which forces blood through the semi-lunar valves into
the pulmonary artery and aorta.
The left ventricle must pump blood around most of the body, so it has a thicker
muscle wall than the right ventricle.
The semi-lunar valves then shut again, stopping blood flowing back into the
ventricles.
The atria re-fill with blood, and the heart cycle (or ‘cardiac
cycle’) starts again.
Each ‘heart cycle’ is called a
heartbeat
.
The number of heartbeats in a minute is the
heart rate
,
measured in beats per minute.
We usually measure the heart rate by finding a
pulse
. As
ventricles contract, they send a shockwave along artery walls, which we feel as
a pulse. The number of pulses in a minute gives the heart rate. You can feel someone’s pulse on their wrist.</t>
  </si>
  <si>
    <t>Factors Affecting the Heart</t>
  </si>
  <si>
    <t>2.66 explain how the heart rate changes during exercise and under the influence of adrenaline
2.67 understand how factors may increase the risk of developing coronary heart disease</t>
  </si>
  <si>
    <t>Pages 75–76</t>
  </si>
  <si>
    <t>Lesson 64  — Factors Affecting the Heart
Specification Points:
2.66 explain how the heart rate changes during exercise and under the influence of adrenaline
2.67 understand how factors may increase the risk of developing coronary heart disease
Pages 75–76</t>
  </si>
  <si>
    <t>• identify factors that can change heart rate
• explain why heart rate increases during exercise and in response to adrenaline
• describe coronary heart disease
• explain why different factors increase the risk of developing coronary heart disease.</t>
  </si>
  <si>
    <t>• adrenal gland: endocrine gland found on top of each kidney, which releases adrenaline
• adrenaline: hormone released into the blood from the adrenal glands in response to fright or shock (also called epinephrine)
• atherosclerosis: the deposition of fatty substances inside blood vessels
• endocrine gland: organ that releases a hormone into the blood (e.g. adrenal gland)
• hormone: a substance that can trigger changes in certain cells when they detect it
• impulse: electrical signal carried by nerve cells
• medulla: part of the brain that controls heart rate
• pacemaker: something that generates electrical impulses to cause a heartbeat
• target cell: cell that is affected by a hormone</t>
  </si>
  <si>
    <t>**Teaching session 2**
Coronary heart disease
External heart structure
The human heart is about the size of your fist. It has a network of blood
vessels over its surface. These include the
coronary
arteries
, which supply the cardiac muscle with oxygen
and nutrients.
Coronary heart disease
If the coronary arteries start to become blocked, they no longer supply enough
blood. Regions of cardiac muscle that do not get enough oxygen and nutrients do
not work efficiently.
This is called
coronary heart disease
(
CHD
). It often causes
chest pain and makes people feel faint and short of breath.
Heart attack
In severe cases, a region of cardiac muscle stops getting blood and so stops
being able to contract properly. This is a
heart
attack
.
Atherosclerosis
Coronary heart disease is caused by a build-up of fatty deposits called
plaques
inside arteries. The process is
called
atherosclerosis
.
The plaques make the arteries narrower. Blood clots can also form where plaques
have built up, which can block an artery further.
Risk factors
Things that increase the chance of harm are called
risk
factors
. The risk factors for coronary heart disease
include:
diet
high blood pressure
smoking
lack of exercise
heredity.
Diet
One of the main fats in an artery plaque is
cholesterol
. High levels of this fat in the
blood can cause plaques to form.
Blood tests are used to find out about the levels of cholesterol in
people’s blood.
Saturated fats (found in dairy products, red meat, fried foods) can increase
blood cholesterol levels, so a diet low in these fats can reduce the risk of
CHD.
High blood pressure
Blood pressure is measured using a blow-up cuff that goes around the
upper arm.
High blood pressure is when blood pushes very forcefully against the artery
walls.
This force damages the inner surfaces of the arteries and makes plaques more
likely to stick.
High blood pressure can be caused by stress, lack of exercise, eating too much
salt and being overweight.
Smoking
Some of the substances in tobacco smoke damage the artery walls and increase blood
pressure. Some of these substances can also make blood more likely to clot where</t>
  </si>
  <si>
    <t>The Structure and Function of Blood Vessels</t>
  </si>
  <si>
    <t>2.68 understand how the structure of arteries, veins and capillaries relate to their function 
2.69 understand the general structure of the circulation system, including the blood vessels to and from the heart and lungs, liver and kidneys</t>
  </si>
  <si>
    <t>Pages 76–77</t>
  </si>
  <si>
    <t>Lesson 65  — The Structure and Function of Blood Vessels
Specification Points:
2.68 understand how the structure of arteries, veins and capillaries relate to their function 
2.69 understand the general structure of the circulation system, including the blood vessels to and from the heart and lungs, liver and kidneys
Pages 76–77</t>
  </si>
  <si>
    <t>• recall the functions of arteries, veins and capillaries
• explain how the structures of arteries, veins and capillaries are adapted for their functions
• recall the names and positions of major blood vessels in the circulatory system.</t>
  </si>
  <si>
    <t>• hepatic artery: takes blood from the aorta to the liver
• hepatic portal vein: carries blood from the intestines to the liver
• hepatic vein: takes blood from the liver to the vena cava
• lumen: the space in a tube in which a fluid flows
• mesenteric artery: carries blood from the aorta to the intestines
• renal artery: carries blood from the aorta to the kidneys
• renal vein: carries blood from the kidneys to the vena cava
• tissue fluid: a fluid that forms from blood plasma, and which surrounds all cells</t>
  </si>
  <si>
    <t>Excretory Products in Plants and Animals</t>
  </si>
  <si>
    <t>2.70 understand the origin of carbon dioxide and oxygen as waste products of metabolism and their loss from the stomata of a leaf 
2.71 know the excretory products of the lungs, kidneys and skin (organs of excretion)</t>
  </si>
  <si>
    <t>Pages 104–106, 159, 161</t>
  </si>
  <si>
    <t>Lime water, Straws
Optional but does not always work: Bicarbonate indicator, freshly picked leaves to show products of photosynthesis
Lesson 67 - Excretory Products 2025.pptx
4 boiling tubes with bungs (cotton wool and aluminium foil will work if you do not have rubber bungs)
200 mL hydrogencarbonate indicator solution – equilibrated
20 mL syringe or 50 mL measuring cylinder
2 pieces of pondweed
2 water snails
aluminium foil
waterproof marker pen
pH meter and probe OR pH paper
1 test tube with 10 mL red hydrogencarbonate solution
1 test tube with 10 mL limewater
2 drinking straws</t>
  </si>
  <si>
    <t>Wear eye protection throughout this practical.
Take care with indicator solution; report any spillages.
Handle glassware carefully to avoid breakages.
Handle the snails carefully as they are alive.
Take care with hot apparatus. Do not touch hot equipment directly. Use tongs or heat-proof mats.
Wash hands after handling plant material. Check for allergies before handling seeds.
ammonia, which is very alkaline and toxic.
Ammonia is changed, in the liver, to urea. This is less toxic but still has to
Three from: More carbon dioxide breathed out (1) because your muscle cells are carrying out more aerobic respiration (1) to release more energy/make more ATP for your leg muscles to contract (1). Carbon dioxide is the by-product/waste product from respiration (1). It is acidic and toxic and has to be removed (1).
Two from: Less carbon dioxide breathed out (1) because your muscles are relaxed and are carrying out less aerobic respiration (1) so less of the toxic and acidic by-product, carbon dioxide, is produced (1).</t>
  </si>
  <si>
    <t>Lesson 67  — Excretory Products in Plants and Animals
Specification Points:
2.70 understand the origin of carbon dioxide and oxygen as waste products of metabolism and their loss from the stomata of a leaf 
2.71 know the excretory products of the lungs, kidneys and skin (organs of excretion)
Pages 104–106, 159, 161
Requisitions:
Lime water, Straws
Optional but does not always work: Bicarbonate indicator, freshly picked leaves to show products of photosynthesis
Lesson 67 - Excretory Products 2025.pptx
4 boiling tubes with bungs (cotton wool and aluminium foil will work if you do not have rubber bungs)
200 mL hydrogencarbonate indicator solution – equilibrated
20 mL syringe or 50 mL measuring cylinder
2 pieces of pondweed
2 water snails
aluminium foil
waterproof marker pen
pH meter and probe OR pH paper
1 test tube with 10 mL red hydrogencarbonate solution
1 test tube with 10 mL limewater
2 drinking straws
Notes:
Wear eye protection throughout this practical.
Take care with indicator solution; report any spillages.
Handle glassware carefully to avoid breakages.
Handle the snails carefully as they are alive.
Take care with hot apparatus. Do not touch hot equipment directly. Use tongs or heat-proof mats.
Wash hands after handling plant material. Check for allergies before handling seeds.</t>
  </si>
  <si>
    <t>• describe the waste products made by plants and animals
• describe the systems that plants and animals use for excretion
• explain why excretion is an essential life process.</t>
  </si>
  <si>
    <t>• blood plasma: liquid part of the blood; blood cells are suspended in it; it also contains and carries dissolved nutrients, carbon dioxide, waste products and hormones, and blood proteins that cause clotting when a blood vessel is damaged
• by-product: a secondary product made during a reaction
• deamination: chemical reaction that removes the amino group (NH2) from amino acids
• tissue fluid: a fluid that forms from blood plasma, and which surrounds all cells
• urea: nitrogenous (nitrogen-containing) chemical, formula = (NH2)2CO</t>
  </si>
  <si>
    <t>**Teaching session 2**
Systems to remove excretory products in plants and animals
Removal of oxygen from a leaf
Photosynthesis takes place in the palisade layer and the oxygen diffuses into the spongy
layer and out through the stomata.
info
info
The cells in the palisade layer carry out most of
the photosynthesis in a plant.
Any
surplus oxygen made in the leaves diffuses out of the cells and into the air
spaces in the spongy layer.
The stomata are pores in the lower epidermis (lower
covering) of a leaf.
One pore is called a stoma. (This is from the Greek word for mouth.) The
word ‘stomata’ is used for more than one stoma.
Each stoma is surrounded by two guard cells. When these guard cells swell,
they cause the stoma to open.
(Stomata are also where gas exchange occurs in plants.)
Stomata
The image shows the lower surface of a leaf as seen under a microscope.
Water evaporates from the mesophyll cells, then diffuses as water vapour out
through the stomata (singular: stoma) on the under surface of a leaf.
What are the excretory organs in a human?
Water and carbon dioxide are removed from the lungs.
Water, salts and urea are removed from the kidneys.
Sweat (containing water, urea and salts) is produced by the skin.
info
info
info
The lungs excrete carbon dioxide in expired air.
They also excrete some water. This is because exhaled air has much more
moisture than inhaled air.
(The lungs are also where gas exchange occurs in animals.)
In some animals, such as fish, carbon dioxide is excreted from their gills.
The kidneys excrete urea. Urea is a nitrogenous
waste, found in the urine. Small amounts of other nitrogenous waste, such as
creatine and uric acid, are also excreted in the urine.
The kidneys also remove excess salts and water. They therefore regulate the
salt and water content of the blood and body.
In some other animals, such as birds, more uric acid is excreted.
In fish, ammonia is excreted.
Some mammals sweat to prevent overheating.
Sweat contains a lot of water that evaporates and is lost from the body.
Sweat also contains small amounts of urea and salts.</t>
  </si>
  <si>
    <t>Year 11</t>
  </si>
  <si>
    <t>The Structure of the Urinary System</t>
  </si>
  <si>
    <t>2.72B understand how the kidney carries out its roles of excretion and osmoregulation
2.73B describe the structure of the urinary system, including the kidneys, ureters, bladder and urethra</t>
  </si>
  <si>
    <t>Pages 104–107</t>
  </si>
  <si>
    <t>Plastic kidney model
Kidney Dissection
Lambs Kidneys, Dissection kits, mounting needles, dissinfectant
lamb/sheep kidney
white tile
scalpel
latex gloves</t>
  </si>
  <si>
    <t>• Take care using a scalpel.
• Wear gloves when handling the kidney.</t>
  </si>
  <si>
    <t>Lesson 68 — The Structure of the Urinary System
Specification Points:
2.72B understand how the kidney carries out its roles of excretion and osmoregulation
2.73B describe the structure of the urinary system, including the kidneys, ureters, bladder and urethra
Pages 104–107
Requisitions:
Plastic kidney model
Kidney Dissection
Lambs Kidneys, Dissection kits, mounting needles, dissinfectant
lamb/sheep kidney
white tile
scalpel
latex gloves
Notes:
Dissection can be done as a demo or class prac
Take care using a scalpel.
Wear gloves when handling the kidney.
Take care with sharp instruments. Cut away from the body. Follow dissection safety guidelines.</t>
  </si>
  <si>
    <t>• label the components of the urinary system
• explain the role of the kidneys in osmoregulation
• describe the composition of urine
• outline how urine is produced, stored and excreted from the body.</t>
  </si>
  <si>
    <t>• organ: collection of tissues that work together to perform a specific function or set of functions
• sphincter: ring-shaped muscle that relaxes to open a passage or contracts to close a passage in the body
• system: group of organs that work together
• tissue: collection of cells that work together to perform a specific function</t>
  </si>
  <si>
    <t>1. Place the kidney on the white tile.
2. Show students the whole kidney. If possible, point out the cut ends of the renal artery (thicker wall and small lumen), renal vein (thin wall and large lumen), and ureter (small white tube). There may also be some suet – fat around the kidney – and the capsule may be intact.
3. Slice lengthways through the kidney to show the lighter cortex, darker medulla, pyramids and pelvis.</t>
  </si>
  <si>
    <t>The Nephron and Ultrafiltration</t>
  </si>
  <si>
    <t>2.74B describe the structure of a nephron, including the Bowman’s capsule and glomerulus, convoluted tubules, loop of Henle and collecting duct 
2.75B describe ultrafiltration in the Bowman’s capsule and the composition of the glomerular filtrate</t>
  </si>
  <si>
    <t>Pages 108–110</t>
  </si>
  <si>
    <t>Lesson 69  — The Nephron and Ultrafiltration
Specification Points:
2.74B describe the structure of a nephron, including the Bowman’s capsule and glomerulus, convoluted tubules, loop of Henle and collecting duct 
2.75B describe ultrafiltration in the Bowman’s capsule and the composition of the glomerular filtrate
Pages 108–110</t>
  </si>
  <si>
    <t>• describe the structure of the nephron
• explain the process of ultrafiltration
• compare the composition of blood in the glomerulus with that of the filtrate in the proximal convoluted tubule.</t>
  </si>
  <si>
    <t>• afferent: carrying towards
• arteriole: type of blood vessel that links arteries and capillaries
• efferent: carrying away from
• tubules: very small tubes</t>
  </si>
  <si>
    <t>Lesson 70</t>
  </si>
  <si>
    <t>Selective Reabsorption</t>
  </si>
  <si>
    <t>2.76B understand how water is reabsorbed into the blood from the collecting duct
2.77B understand why selective reabsorption of glucose occurs at the proximal convoluted tubule
2.78B describe the role of ADH in regulating the water content of the blood</t>
  </si>
  <si>
    <t>Pages 99, 109–111</t>
  </si>
  <si>
    <t>all of the amino acids
When sodium ions, glucose and amino acids leave the filtrate, the filtrate
the acid–base balance
reabsorbs all the glucose and amino acids from filtrate</t>
  </si>
  <si>
    <t>Lesson 70 — Selective Reabsorption
Specification Points:
2.76B understand how water is reabsorbed into the blood from the collecting duct
2.77B understand why selective reabsorption of glucose occurs at the proximal convoluted tubule
2.78B describe the role of ADH in regulating the water content of the blood
Pages 99, 109–111</t>
  </si>
  <si>
    <t>• explain the selective reabsorption of glucose in the PCT of the nephron
• explain the reabsorption of water from the loop of Henle, DCT and collecting duct
• describe the differences between the glomerular filtrate and urine.</t>
  </si>
  <si>
    <t>• osmoregulation: regulation of the salt and water content of the body/blood.</t>
  </si>
  <si>
    <t>Production of Urine</t>
  </si>
  <si>
    <t>2.78B describe the role of ADH in regulating the water content of the blood
2.79B understand that urine contains water, urea and ions</t>
  </si>
  <si>
    <t>Pages 109–111</t>
  </si>
  <si>
    <t>happens in the liver. Urea is a toxic by-product of metabolism and has to be</t>
  </si>
  <si>
    <t>Lesson 71 — Production of Urine
Specification Points:
2.78B describe the role of ADH in regulating the water content of the blood
2.79B understand that urine contains water, urea and ions
Pages 109–111</t>
  </si>
  <si>
    <t>• recall how urine is produced in a nephron
• describe the composition of urine
• explain the effect of ADH on the collecting duct.</t>
  </si>
  <si>
    <t>• aquaporins: protein channels that allow water to pass through them
• dehydrated: lacking in water
• overhydrated: having too much water
• renal: to do with the kidney(s)
• urination: passing urine out of the body</t>
  </si>
  <si>
    <t>ADH and Osmoregulation</t>
  </si>
  <si>
    <t>2.79B understand that urine contains water, urea and ions</t>
  </si>
  <si>
    <t>Pages 104–105 and 111</t>
  </si>
  <si>
    <t>Lesson 72 — ADH and Osmoregulation
Specification Points:
2.79B understand that urine contains water, urea and ions
Pages 104–105 and 111</t>
  </si>
  <si>
    <t>• describe where ADH is produced and when it is released
• explain the ADH response for dehydration and high levels of hydration
• evaluate data and graphs on urine volume and concentration in different conditions.</t>
  </si>
  <si>
    <t>• hypothalamus: region of the brain
• negative feedback: mechanism to redress a change in the body
• peptide: small protein / short chain of amino acids
• pituitary gland: an endocrine gland at the base of the brain; also called the hypophysis</t>
  </si>
  <si>
    <t>What is Homeostasis and Why is it Important?</t>
  </si>
  <si>
    <t>2.80 understand how organisms are able to respond to changes in their environment 
2.81 understand that homeostasis is the maintenance of a constant internal environment, and that body water content and body temperature are both examples of homeostasis 
2.82 understand that a co-ordinated response requires a stimulus, a receptor and an effector
2.86 describe how nervous and hormonal communication control responses and understand the differences between the two systems</t>
  </si>
  <si>
    <t>Pages 99, 104–105, 111–113</t>
  </si>
  <si>
    <t>Lesson 73 — What is Homeostasis and Why is it Important?
Specification Points:
2.80 understand how organisms are able to respond to changes in their environment 
2.81 understand that homeostasis is the maintenance of a constant internal environment, and that body water content and body temperature are both examples of homeostasis 
2.82 understand that a co-ordinated response requires a stimulus, a receptor and an effector
2.86 describe how nervous and hormonal communication control responses and understand the differences between the two systems
Pages 99, 104–105, 111–113</t>
  </si>
  <si>
    <t>• identify ways organisms can respond to their environment
• explain why homeostasis is important for maintaining a constant internal environment
• explain that a coordinated response requires a stimulus, a receptor and an effector.</t>
  </si>
  <si>
    <t>• CNS: central nervous system (the brain and spinal cord)
• ectotherm: animal whose body temperature varies with that of the environment; can adjust their temperature by seeking sunlight or shade
• endotherm: animal whose body temperature can be maintained by its metabolism; can generate heat from within
• extremities: fingers and toes, ear tips
• neurone: nerve cell
• poikilotherm: organism with variable body temperature
• synapse: gap between neurones</t>
  </si>
  <si>
    <t>The Nervous System</t>
  </si>
  <si>
    <t>2.87 understand that the central nervous system consists of the brain and spinal cord and is linked to sense organs by nerves 
2.88 understand that stimulation of receptors in the sense organs sends electrical impulses along nerves into and out of the central nervous system, resulting in rapid responses</t>
  </si>
  <si>
    <t>Pages 84–87</t>
  </si>
  <si>
    <t>Two point touch discrimination test: Hair grips or paperclips and rulers
https://www.catell.se/images/1.62.2009221616/two-point-discriminator.pdf</t>
  </si>
  <si>
    <t>Lesson 74 — The Nervous System
Specification Points:
2.87 understand that the central nervous system consists of the brain and spinal cord and is linked to sense organs by nerves 
2.88 understand that stimulation of receptors in the sense organs sends electrical impulses along nerves into and out of the central nervous system, resulting in rapid responses
Pages 84–87
Requisitions:
Two point touch discrimination test: Hair grips or paperclips and rulers
https://www.catell.se/images/1.62.2009221616/two-point-discriminator.pdf</t>
  </si>
  <si>
    <t>• describe the structure of the central nervous system and peripheral nervous system
• describe a reflex arc as a rapid response that protects the body
• explain how the stimulation of a receptor leads to a rapid response in the body.</t>
  </si>
  <si>
    <t>• peripheral: around the edge &amp;ndash; in the nervous system it means the nerves connecting sense organs and effectors to the CNS
• reflex action: involuntary action in response to a stimulus
• response: a reaction to something</t>
  </si>
  <si>
    <t>The Role of a Synapse</t>
  </si>
  <si>
    <t>2.89 understand the role of neurotransmitters at synapses 
2.90 describe the structure and functioning of a simple reflex arc illustrated by the withdrawal of a finger from a hot object</t>
  </si>
  <si>
    <t>Pages 93–97</t>
  </si>
  <si>
    <t>Lesson 75 — The Role of a Synapse
Specification Points:
2.89 understand the role of neurotransmitters at synapses 
2.90 describe the structure and functioning of a simple reflex arc illustrated by the withdrawal of a finger from a hot object
Pages 93–97</t>
  </si>
  <si>
    <t>• describe synapses as gaps between neurones
• explain the role of neurotransmitters at a synapse
• describe the structure of a reflex arc.</t>
  </si>
  <si>
    <t>• cleft: gap
• exocytosis: active process that allows molecules to pass out of a cell; a vesicle containing the molecules fuses with the cell surface membrane
• neurotransmitter: chemical messenger used by the nervous system
• nm: nanometre: 1000 nm = 1 micrometre; 1 million nm = 1 mm
• postsynaptic: after the synapse
• presynaptic: before the synapse
• vesicle: tiny sac of cell membrane</t>
  </si>
  <si>
    <t>The Structure of the Eye</t>
  </si>
  <si>
    <t>2.91 describe the structure and function of the eye as a receptor</t>
  </si>
  <si>
    <t>Pages 87–90, 95 and 96</t>
  </si>
  <si>
    <t>Lesson 76 — The Structure of the Eye
Specification Points:
2.91 describe the structure and function of the eye as a receptor
Pages 87–90, 95 and 96</t>
  </si>
  <si>
    <t>• describe the eye as a receptor
• label the structures of the eye
• describe the function of the structures in the eye.</t>
  </si>
  <si>
    <t>• aqueous humour: a fluid found between the cornea and the lens
• conjunctiva: a thin, transparent layer of cells that lines the eyelids and covers the cornea
• photoreceptor: sense receptor that is sensitive to light, of which there are two types: rods and cones
• vitreous humour: a jelly-like substance found behind the lens, which maintains the shape of the eyeball</t>
  </si>
  <si>
    <t>Lesson 77</t>
  </si>
  <si>
    <t>The Function of the Eye</t>
  </si>
  <si>
    <t>2.92 understand the function of the eye in focusing on near and distant objects, and in responding to changes in light intensity</t>
  </si>
  <si>
    <t>Pages 89–91, 95</t>
  </si>
  <si>
    <t>Lesson 77 — The Function of the Eye
Specification Points:
2.92 understand the function of the eye in focusing on near and distant objects, and in responding to changes in light intensity
Pages 89–91, 95</t>
  </si>
  <si>
    <t>• describe that accommodation and the action of the iris are reflex responses
• explain how the eye responds to different light intensities
• explain how the eye focuses on near and distant objects.</t>
  </si>
  <si>
    <t>• accommodation: the ability of the lens to change shape so that it can produce focused images of both near and distant objects on the retina
• convex: curved outwards
• biconvex: curved outwards on both edges
• focal length: the distance between the centre of a lens and the focal point
• fovea: the region of the retina where most light rays are focused; it is packed with cone cells; images that form here are the clearest and are seen in colour, if light is bright enough
• iris reflex: an automatic response that occurs when the iris increases the size of the pupil in dark conditions and decreases it in bright conditions
• refraction: the bending of light rays when they pass from one material to another</t>
  </si>
  <si>
    <t>Thermoregulation</t>
  </si>
  <si>
    <t>2.93 describe the role of the skin in temperature regulation, with reference to sweating, vasoconstriction and vasodilation</t>
  </si>
  <si>
    <t>Pages 112–115</t>
  </si>
  <si>
    <t>Lesson 78 — Thermoregulation
Specification Points:
2.93 describe the role of the skin in temperature regulation, with reference to sweating, vasoconstriction and vasodilation
Pages 112–115</t>
  </si>
  <si>
    <t>• describe the mechanisms used for thermoregulation
• describe how sweating and vasodilation are used to reduce body temperature
• describe how vasoconstriction is used to increase body temperature.</t>
  </si>
  <si>
    <t>• latent heat of vaporisation: heat energy that is required for evaporation
• thermoregulation: a process that takes place to regulate body temperature
• vasoconstriction: narrowing of blood vessels in the skin to reduce heat loss
• vasodilation: widening of blood vessels in the skin to increase heat loss</t>
  </si>
  <si>
    <t>Chemical Coordination</t>
  </si>
  <si>
    <t>2.94 understand the sources, roles and effects of the following hormones: adrenaline, insulin, testosterone, progesterone and oestrogen 
2.95B understand the sources, roles and effects of the following hormones: ADH, FSH and LH</t>
  </si>
  <si>
    <t>Pages 98–103</t>
  </si>
  <si>
    <t>Lesson 79 — Chemical Coordination
Specification Points:
2.94 understand the sources, roles and effects of the following hormones: adrenaline, insulin, testosterone, progesterone and oestrogen 
2.95B understand the sources, roles and effects of the following hormones: ADH, FSH and LH
Pages 98–103</t>
  </si>
  <si>
    <t>• know the main endocrine glands of the human body and the hormones they produce
• describe the function of adrenaline, insulin, testosterone, progesterone and oestrogen
• explain the source, role and effects of ADH, FSH and LH.</t>
  </si>
  <si>
    <t>• diabetes (mellitus): a condition that occurs when a person does not secrete sufficient insulin to lower their blood glucose levels, or their cells do not respond to insulin to lower blood glucose levels; also called sugar diabetes</t>
  </si>
  <si>
    <t>Test 5</t>
  </si>
  <si>
    <t>Reproduction</t>
  </si>
  <si>
    <t>3.1 understand the differences between sexual and asexual reproduction 
3.2 understand that fertilisation involves the fusion of a male and female gamete to produce a zygote that undergoes cell division and develops into an embryo</t>
  </si>
  <si>
    <t>Pages 118–121 and 126–128</t>
  </si>
  <si>
    <t>Set up for plant reproduction germination lesson 82-83
Mung beans
Cotton wool</t>
  </si>
  <si>
    <t>Lesson 81 — Reproduction
Specification Points:
3.1 understand the differences between sexual and asexual reproduction 
3.2 understand that fertilisation involves the fusion of a male and female gamete to produce a zygote that undergoes cell division and develops into an embryo
Pages 118–121 and 126–128
Requisitions:
Set up for plant reproduction germination lesson 82-83
Mung beans
Cotton wool
Notes:
Fill test tube with water and seal with cotton wool, place the seed against the glass and cotton wool and allow to germinate.</t>
  </si>
  <si>
    <t>• explain the differences between sexual and asexual reproduction
• describe the process of fertilisation
• explain the stages involved in the production of an embryo.</t>
  </si>
  <si>
    <t>• diploid: a cell that has two sets of chromosomes; in humans the diploid number is 46
• embryo: a ball of cells that has formed after the zygote starts to divide
• fertilisation: fusion of a male and a female gamete
• fetus: an unborn offspring that develops from an embryo (in humans, from 9 weeks onwards)
• gametes: specialised sex cells that fuse during fertilisation in sexual reproduction
• haploid: a cell that has one set of chromosomes; in humans the haploid number is 23
• meiosis: a type of cell division which gives rise to haploid gametes
• mitosis: a type of cell division after which genetically identical cells are produced
• variation: differences in genetic makeup and/or features in an organism
• zygote: the single diploid cell that is formed after fertilisation</t>
  </si>
  <si>
    <t>Reproduction in Plants</t>
  </si>
  <si>
    <t>3.3 describe the structures of an insect-pollinated and a wind-pollinated flower and explain how each is adapted for pollination</t>
  </si>
  <si>
    <t>Pages 174–181</t>
  </si>
  <si>
    <t>Flower Dissection
Lillys or other large single flowers.</t>
  </si>
  <si>
    <t>Take care with sharp instruments. Cut away from the body. Follow dissection safety guidelines.</t>
  </si>
  <si>
    <t>Lesson 82 — Reproduction in Plants
Specification Points:
3.3 describe the structures of an insect-pollinated and a wind-pollinated flower and explain how each is adapted for pollination
Pages 174–181
Requisitions:
Flower Dissection
Lillys or other large single flowers.
Notes:
Take care with sharp instruments. Cut away from the body. Follow dissection safety guidelines.</t>
  </si>
  <si>
    <t>• know that pollination is part of sexual reproduction
• describe the structures and functions for insect- and wind-pollinated flowers
• explain how pollination occurs for insect- or wind-pollinated flowers.</t>
  </si>
  <si>
    <t>• pollination: the process used to transfer pollen from the anthers (of one flower) to the stigma (of another flower or of the same flower)</t>
  </si>
  <si>
    <t>Lesson 83</t>
  </si>
  <si>
    <t>Sexual and Asexual Reproduction in Plants</t>
  </si>
  <si>
    <t>3.4 understand that the growth of the pollen tube followed by fertilisation leads to seed and fruit formation 
3.6 understand how germinating seeds utilise food reserves until the seedling can carry out photosynthesis
3.7 understand that plants can reproduce asexually by natural methods (illustrated by runners) and by artificial methods (illustrated by cuttings)</t>
  </si>
  <si>
    <t>Pages 174–178, 180–181 and 185</t>
  </si>
  <si>
    <t>microscopes
slides with agar gel containing 2% sucrose (agar gel should be set)
flowers with ripe anthers
cocktail sticks
face masks</t>
  </si>
  <si>
    <t>Wear eye protection when handling solutions.
You may wish to avoid this practical if you have a pollen allergy.
Wear a face mask to avoid breathing in pollen grains.
Handle glass slides and coverslips carefully — they break easily and can be sharp.</t>
  </si>
  <si>
    <t>Lesson 83 — Sexual and Asexual Reproduction in Plants
Specification Points:
3.4 understand that the growth of the pollen tube followed by fertilisation leads to seed and fruit formation 
3.6 understand how germinating seeds utilise food reserves until the seedling can carry out photosynthesis
3.7 understand that plants can reproduce asexually by natural methods (illustrated by runners) and by artificial methods (illustrated by cuttings)
Pages 174–178, 180–181 and 185
Requisitions:
microscopes
slides with agar gel containing 2% sucrose (agar gel should be set)
flowers with ripe anthers
cocktail sticks
face masks
Notes:
Wear eye protection when handling solutions.
You may wish to avoid this practical if you have a pollen allergy.
Wear a face mask to avoid breathing in pollen grains.
Handle glass slides and coverslips carefully — they break easily and can be sharp.</t>
  </si>
  <si>
    <t>• describe the process of fertilisation and fruit formation
• explain the process of germination
• compare the natural and artificial methods of asexual reproduction.</t>
  </si>
  <si>
    <t>• seed: a structure in flowering plants that contains an embryonic plant in a protective outer covering
• vegetative reproduction: any form of asexual reproduction during which a new plant is produced from a parent plant, for example by cuttings or runners</t>
  </si>
  <si>
    <t>**Teaching session 1**
Slideshow: Pollen tubes, fertilisation and
 seeds
Image: Microscopic pollen tubes
Practical Method Worksheet 1
Image: The plant life cycle
**Teaching session 2**
Slideshow: Development of seeds
Practical Method Worksheet 2
Worksheet 1
**Teaching session 3**
Slideshow: Asexual reproduction in
 plants
Practical Method Worksheet 3
Worksheet 2
**Teaching session 3**
Asexual reproduction in plants
Plants that are produced by asexual reproduction are genetically identical to
 both the parent plant and to each other.
There is no mixing of genes like there is in sexual reproduction.
Asexual reproduction is also called
vegetative reproduction
or
 vegetative propagation.
Natural methods of asexual reproduction are strategies that plants use to
 self-propagate.
Humans use artificial methods of asexual reproduction to produce new plants.
Most houseplants and many garden plants are produced by cuttings or
 micropropagation.</t>
  </si>
  <si>
    <t>Core Practical – Investigating Seed Germination</t>
  </si>
  <si>
    <t>3.5 practical: investigate the conditions needed for seed germination 
3.6 understand how germinating seeds utilise food reserves until the seedling can carryout photosynthesis</t>
  </si>
  <si>
    <t>Pages 178–179
Lab Book: Pages 53–57</t>
  </si>
  <si>
    <t>Seeds (e.g. cress or bean seeds)
Petri dishes
Cotton wool
Distilled water
Thermometer
Heat source or incubator
Labels / marker pen
Measuring cylinder
Beakers
Paper towels
filter paper discs to fit Petri dishes – alternatively, cut circular pieces of kitchen paper to fit or use cotton wool
seeds that will germinate in darkness – for example, white mustard Brassica alba
, cress Lepidum sativum
, radish
Raphanus
raphanistrum
subsp.
sativus
scissors</t>
  </si>
  <si>
    <t>• Wear eye protection.
• Take care with glassware.
• Take care with scissors.
• Wear eye protection.
• Take care with glassware.
• Take care with scissors.
• Tke care with the alkaline pyrogallol.</t>
  </si>
  <si>
    <t>Lesson 84 — Core Practical – Investigating Seed Germination
Specification Points:
3.5 practical: investigate the conditions needed for seed germination 
3.6 understand how germinating seeds utilise food reserves until the seedling can carryout photosynthesis
Pages 178–179
Lab Book: Pages 53–57
Requisitions:
Seeds (e.g. cress or bean seeds)
Petri dishes
Cotton wool
Distilled water
Thermometer
Heat source or incubator
Labels / marker pen
Measuring cylinder
Beakers
Paper towels
filter paper discs to fit Petri dishes – alternatively, cut circular pieces of kitchen paper to fit or use cotton wool
seeds that will germinate in darkness – for example, white mustard Brassica alba
, cress Lepidum sativum
, radish
Raphanus
raphanistrum
subsp.
sativus
scissors
Notes:
Wear eye protection.
Take care with glassware.
Take care with scissors.
Take care with hot apparatus. Do not touch hot equipment directly. Use tongs or heat-proof mats.
Wash hands after handling plant material. Check for allergies before handling seeds.</t>
  </si>
  <si>
    <t>• investigate the conditions needed for seed germination
• explain how the different factors that affect seed germination can be investigated
• evaluate methods and interpret data on the germination of seeds.</t>
  </si>
  <si>
    <t>• hypothesis: a proposed explanation that is used as a starting point for an investigation; it is used to predict the outcome of an investigation</t>
  </si>
  <si>
    <t>1. Write your initials on the bottom of the three Petri dishes.
2. Place about three pieces of filter paper into the base of each of the Petri dishes.
3. Leave one dish dry. Add just enough water to the second dish to make all the filter paper wet. Add water to the third dish so the paper is wet and then add more water so that there is a layer of water above the filter paper.
4. Add 20 seeds to each dish.
5. Place the lid on each dish and place all the dishes in a dark cupboard that is at room temperature – around 20 °C. Measure and note the temperature.
6. Examine the dishes each day and note when the seeds start to germinate. Which emerges first – radicle or plumule?
7. Note when the first leaves appear.
8. Count how many of the seeds have germinated after 7 days.
1. Write your initials on the bottom of the three Petri dishes.
2. Set up about four Petri dishes with three layers of filter paper in each. Use a pipette to deliver 10 mL of distilled water to the filter paper in each Petri dish. The paper should be well soaked but not flooded.
3. Place 20 seeds on each dish and replace the lids.
4. Wrap each dish in foil to exclude light.
5. Place one in the fridge, one in the cupboard (at room temperature), one in an incubator set at 40 °C and one in an incubator at 60 °C. Note the temperature in the fridge and in the cupboard.
6. Examine the dishes in the fridge each day and note when germination begins.
1. Write your initials on two conical flasks.
2. Add 50 mL alkaline pyrogallol to one of the conical flasks. Alkaline pyrogallol absorbs oxygen and will remove the oxygen form the air in the flask.
3. Add 50 mL distilled water to the other flask.
4. Make two cotton wool balls, dampen them well with distilled water and roll them into the seeds so that the seeds stick to the cotton wool.
5. Tie a piece of thread around each cotton wool ball and then suspend the cotton wool and seeds into each flask as shown in the diagram.
6. Place both flasks in a warm place.
7. Exa</t>
  </si>
  <si>
    <t>The Human Reproductive System</t>
  </si>
  <si>
    <t>3.8 understand how the structure of the male and female reproductive systems are adapted for their functions</t>
  </si>
  <si>
    <t>Pages 118–123 and 126</t>
  </si>
  <si>
    <t>Lesson 85 — The Human Reproductive System
Specification Points:
3.8 understand how the structure of the male and female reproductive systems are adapted for their functions
Pages 118–123 and 126</t>
  </si>
  <si>
    <t>• outline the process of human reproduction
• explain how the structures of the male reproductive system are adapted to their function
• explain how structures of the female reproductive system are adapted to their function.</t>
  </si>
  <si>
    <t>• ovary: the female organ that produces egg cells (ova)
• testis: the male organ that produces sperm cells
• oviduct: the tube that carries the egg from the ovary to the uterus; also called the fallopian tube
• uterus: the organ where a fertilised egg implants and develops during pregnancy
• sperm: the male sex cell
• fertilisation: the fusion of a male and female gamete to form a zygote</t>
  </si>
  <si>
    <t>The Menstrual Cycle</t>
  </si>
  <si>
    <t>3.9 understand the roles of oestrogen and progesterone in the menstrual cycle 
3.10B understand the roles of FSH and LH in the menstrual cycle</t>
  </si>
  <si>
    <t>Pages 123–129</t>
  </si>
  <si>
    <t>Lesson 86 — The Menstrual Cycle
Specification Points:
3.9 understand the roles of oestrogen and progesterone in the menstrual cycle 
3.10B understand the roles of FSH and LH in the menstrual cycle
Pages 123–129</t>
  </si>
  <si>
    <t>• describe the stages of the menstrual cycle
• explain the roles of oestrogen and progesterone in the menstrual cycle
• explain the roles of FSH and LH in the menstrual cycle.</t>
  </si>
  <si>
    <t>• corpus luteum: a temporary endocrine structure that develops in an ovary from the follicle after it has released the ovum; it makes a lot of progesterone and some oestrogen; it breaks down if the ovum is not fertilised
• endometrium: the inner lining of the uterus that is shed during menstruation
• follicle: a structure in the ovary in which the ovum develops
• menstrual cycle: a series of events that occur in a female&amp;rsquo;s body to prepare the body for a possible pregnancy</t>
  </si>
  <si>
    <t>Embryo Development and Secondary Sexual Characteristics</t>
  </si>
  <si>
    <t>3.11 describe the role of the placenta in the nutrition of the developing embryo 
3.12 understand how the developing embryo is protected by amniotic fluid
3.13 understand the roles of oestrogen and testosterone in the development of secondary sexual characteristics</t>
  </si>
  <si>
    <t>Pages 118–126</t>
  </si>
  <si>
    <t>Lesson 87 — Embryo Development and Secondary Sexual Characteristics
Specification Points:
3.11 describe the role of the placenta in the nutrition of the developing embryo 
3.12 understand how the developing embryo is protected by amniotic fluid
3.13 understand the roles of oestrogen and testosterone in the development of secondary sexual characteristics
Pages 118–126</t>
  </si>
  <si>
    <t>• describe the roles of the placenta and the amnion in pregnancy
• describe the secondary sexual characteristics for males and females
• explain the roles of oestrogen and testosterone in the development of secondary sexual characteristics.</t>
  </si>
  <si>
    <t>• amnion: a membrane that surrounds a fetus and secretes amniotic fluid
• blastocyst: a hollow ball of cells developed from the morula by further mitotic cell divisions; some of the cells have differentiated; there is a space called the blastocoel in the centre and the outer layers of cells are called the trophoblast
• chorion: the outermost membrane of a fetus that assists with the formation of the placenta
• morula: a ball of 16 cells, developed from mitotic divisions of the zygote, that forms during the early development of an embryo
• placenta: a temporary organ at the uterus wall that allows exchange of substances between mother and fetus during pregnancy
• secondary sexual characteristics: sexual features that develop in males and females at puberty</t>
  </si>
  <si>
    <t>DNA and RNA</t>
  </si>
  <si>
    <t>3.14 understand that the genome is the entire DNA of an organism and that a gene is a section of a molecule of DNA that codes for a specific protein
3.15 understand that the nucleus of a cell contains chromosomes on which genes are located
3.16B describe a DNA molecule as two strands coiled to form a double helix, the strands being linked by a series of paired bases: adenine (A) with thymine (T), and cytosine (C) with guanine (G)
3.17B understand that an RNA molecule is single stranded and contains uracil (U) instead of thymine (T)</t>
  </si>
  <si>
    <t>Pages 227–230</t>
  </si>
  <si>
    <t>Lesson 88 — DNA and RNA
Specification Points:
3.14 understand that the genome is the entire DNA of an organism and that a gene is a section of a molecule of DNA that codes for a specific protein
3.15 understand that the nucleus of a cell contains chromosomes on which genes are located
3.16B describe a DNA molecule as two strands coiled to form a double helix, the strands being linked by a series of paired bases: adenine (A) with thymine (T), and cytosine (C) with guanine (G)
3.17B understand that an RNA molecule is single stranded and contains uracil (U) instead of thymine (T)
Pages 227–230</t>
  </si>
  <si>
    <t>• define the terms genome, gene and chromosome
• describe the molecular structure of DNA
• compare the molecular structures of DNA and RNA.</t>
  </si>
  <si>
    <t>• gene: a length of DNA that codes for one (or more) specific proteins
• genome: the total genetic content of an individual
• helix: (plural &amp;ndash; helices) coil
• nucleotide: monomer of nucleic acid; consists of a sugar, a nitrogenous base and a phosphate</t>
  </si>
  <si>
    <t>Protein Synthesis</t>
  </si>
  <si>
    <t>3.18B describe the stages of protein synthesis including transcription and translation, including the role of mRNA, ribosomes, tRNA, codons andanticodons</t>
  </si>
  <si>
    <t>Pages 230–234 and 239</t>
  </si>
  <si>
    <t>modelling clay of many different colours
lengths of ribbon
felt tip pens</t>
  </si>
  <si>
    <t>There are no safety considerations for this practical.</t>
  </si>
  <si>
    <t>Lesson 89 — Protein Synthesis
Specification Points:
3.18B describe the stages of protein synthesis including transcription and translation, including the role of mRNA, ribosomes, tRNA, codons andanticodons
Pages 230–234 and 239
Requisitions:
modelling clay of many different colours
lengths of ribbon
felt tip pens</t>
  </si>
  <si>
    <t>• describe the stages of protein synthesis
• describe the process of transcription
• describe the process of translation.</t>
  </si>
  <si>
    <t>• anticodon: triplet of nucleotide bases on a molecule of tRNA
• coding strand: the strand of a gene that has the genetic code for a protein
• codon: triplet of nucleotide bases on a length of mRNA
• peptide bond: bond between amino acids
• template: a pattern; the template strand of DNA is used to build the mRNA, which is complementary to it
• triplet: group of three
• tRNA: type of RNA that carries amino acids to the ribosomes</t>
  </si>
  <si>
    <t>1. Use modelling clay to make a model to show translation at a ribosome – see the diagram below. You could use round bread rolls of different sizes instead of modelling clay.
2. As an example, you may use modelling clay (per different colours) to show the two subunits, with ribbon used to show the mRNA strand (you could use different coloured felt tip pens to show the different bases) and smaller 'blobs' of coloured modelling clay used to show different amino acids on the growing chain.</t>
  </si>
  <si>
    <t>Mitosis</t>
  </si>
  <si>
    <t>3.28 understand how division of a diploid cell by mitosis produces two cells that contain identical sets of chromosomes 
3.29 understand that mitosis occurs during growth, repair, cloning and asexual reproduction 
3.32 know that in human cells the diploid number of chromosomes is 46 and the haploid number is 23</t>
  </si>
  <si>
    <t>Pages 240–242, 246, 248 and 278</t>
  </si>
  <si>
    <t>socks, but not paired up, just thrown haphazardly into the drawer.</t>
  </si>
  <si>
    <t>Lesson 90 — Mitosis
Specification Points:
3.28 understand how division of a diploid cell by mitosis produces two cells that contain identical sets of chromosomes 
3.29 understand that mitosis occurs during growth, repair, cloning and asexual reproduction 
3.32 know that in human cells the diploid number of chromosomes is 46 and the haploid number is 23
Pages 240–242, 246, 248 and 278</t>
  </si>
  <si>
    <t>• describe the process and outcome of mitosis
• know the diploid and haploid number for human cells
• explain the roles of mitosis in growth, repair, cloning and asexual reproduction.</t>
  </si>
  <si>
    <t>• asexually: without sex; without gametes
• clone: genetically identical
• homologous (chromosomes): a pair of chromosomes that are matched in size and carry the same genes at the same loci (positions)</t>
  </si>
  <si>
    <t>Meiosis</t>
  </si>
  <si>
    <t>3.26 understand how the sex of a person is controlled by one pair of chromosomes, XX in a female and XY in a male
3.27 describe the determination of the sex of offspring at fertilisation, using a genetic diagram
3.30 understand how division of a cell by meiosis produces four cells, each with half the number of chromosomes, and that this results in the formation of genetically different haploid gametes 
3.31 understand how random fertilisation produces genetic variation of offspring</t>
  </si>
  <si>
    <t>Pages 242–248, 256–257</t>
  </si>
  <si>
    <t>Lesson 91 — Meiosis
Specification Points:
3.26 understand how the sex of a person is controlled by one pair of chromosomes, XX in a female and XY in a male
3.27 describe the determination of the sex of offspring at fertilisation, using a genetic diagram
3.30 understand how division of a cell by meiosis produces four cells, each with half the number of chromosomes, and that this results in the formation of genetically different haploid gametes 
3.31 understand how random fertilisation produces genetic variation of offspring
Pages 242–248, 256–257</t>
  </si>
  <si>
    <t>• describe the process and outcome for meiosis
• explain how fertilisation leads to genetic variation in offspring
• explain how the sex of offspring is determined at fertilisation.</t>
  </si>
  <si>
    <t>• allele: version of a gene
• autosomes: chromosomes not involved in determining the sex of an individual
• chromatin: the DNA and associated proteins that are in eukaryotic nuclei and that condense into chromosomes just before mitosis or meiosis
• gonads: organs where sex cells are made; ovaries and testes in animals; ovaries and anthers in flowering plants</t>
  </si>
  <si>
    <t>Test 6</t>
  </si>
  <si>
    <t>Levels of organisation – answers1Check with your teacher if you have used different examples.System in a humanExample of one organ in that systemExample of one tissue in that organCell in that tissuecirculatoryheartmuscle tissuemuscle celldigestiveoesophagus / stomach / small intestine / large intestine / rectum / anusmuscle tissuemuscle cellnervousnerve / brain / spinal cordnervous tissuenerve cell2 aThe level of organisation smaller than a cell is an organelle.bThe level of organisation larger than a system is a (multicellular) organism.34aA differentiated cell is one that has developed certain features to do a specific job.bnerve cell (or neurone)</t>
  </si>
  <si>
    <t>Monohybrid Inheritance</t>
  </si>
  <si>
    <t>3.19 understand how genes exist in alternative forms called alleles which give rise to differences in inherited characteristics
3.20 understand the meaning of the terms: dominant, recessive, homozygous, heterozygous, phenotype, and genotype
3.23 describe patterns of monohybrid inheritance using a genetic diagram
3.24 understand how to interpret family pedigrees 
3.25 predict probabilities and outcomes from monohybrid crosses</t>
  </si>
  <si>
    <t>Pages 233–237 and 249–258</t>
  </si>
  <si>
    <t>Lesson 92 — Monohybrid Inheritance
Specification Points:
3.19 understand how genes exist in alternative forms called alleles which give rise to differences in inherited characteristics
3.20 understand the meaning of the terms: dominant, recessive, homozygous, heterozygous, phenotype, and genotype
3.23 describe patterns of monohybrid inheritance using a genetic diagram
3.24 understand how to interpret family pedigrees 
3.25 predict probabilities and outcomes from monohybrid crosses
Pages 233–237 and 249–258</t>
  </si>
  <si>
    <t>• define the terms allele, dominant, recessive, homozygous, heterozygous, phenotype and genotype
• use genetic diagrams to show monohybrid inheritance
• predict the probabilities and outcomes from monohybrid crosses
• interpret pedigree diagrams.</t>
  </si>
  <si>
    <t>• dominant: the allele in a heterozygous person, that is expressed and can be seen in the phenotype &amp;ndash; even if there is also a recessive allele of that gene present
• counsellor: a person trained to give guidance
• genotype: type of alleles present for a particular trait
• heterozygous: having different alleles at a particular gene locus
• homozygous: having two identical alleles at a particular gene locus
• mutation: change to the DNA / genetic material
• pedigree diagram: genetic family tree that shows occurrence of phenotypes, for a particular gene, in three generations
• phenotype: observable characteristic(s)
• recessive: allele in a heterozygote that is not seen in the phenotype if a dominant allele is also present</t>
  </si>
  <si>
    <t>Codominance and Polygenic Inheritance</t>
  </si>
  <si>
    <t>3.21B understand the meaning of the term codominance
3.22 understand that most phenotypic features are the result of polygenic inheritance rather than single genes</t>
  </si>
  <si>
    <t>Pages 254–257</t>
  </si>
  <si>
    <t>Lesson 93 — Codominance and Polygenic Inheritance
Specification Points:
3.21B understand the meaning of the term codominance
3.22 understand that most phenotypic features are the result of polygenic inheritance rather than single genes
Pages 254–257</t>
  </si>
  <si>
    <t>• define the term codominance
• describe how some phenotypic features are the result of polygenic inheritance rather than single genes.</t>
  </si>
  <si>
    <t>• codominant: jointly dominant &amp;ndash; both alleles contribute to the phenotype</t>
  </si>
  <si>
    <t>Manipulating Organisms</t>
  </si>
  <si>
    <t>5.10 understand how selective breeding can develop plants with desired characteristics
5.11 understand how selective breeding can develop animals with desired characteristics
5.17B describe the process of micropropagation (tissue culture) in which explants are grown in vitro
5.18B understand how micropropagation can be used to produce commercial quantities of genetically identical plants with desirable characteristics</t>
  </si>
  <si>
    <t>Pages 268–272, 274–276</t>
  </si>
  <si>
    <t>plant pot – this can be a clean yoghurt pot with a hole in the base
plant compost – enough to fill a yoghurt pot
distilled water
access to a geranium plant – you will need enough plants for each pair to
take a cutting from
white tile
sharp knife
polythene bag
elastic band
adhesive label</t>
  </si>
  <si>
    <t>• Be careful when using the knife. A knife or scalpel must be on the bench or held above the bench at all times. Always cut away from your body.</t>
  </si>
  <si>
    <t>Lesson 95 — Manipulating Organisms
Specification Points:
5.10 understand how selective breeding can develop plants with desired characteristics
5.11 understand how selective breeding can develop animals with desired characteristics
5.17B describe the process of micropropagation (tissue culture) in which explants are grown in vitro
5.18B understand how micropropagation can be used to produce commercial quantities of genetically identical plants with desirable characteristics
Pages 268–272, 274–276
Requisitions:
plant pot – this can be a clean yoghurt pot with a hole in the base
plant compost – enough to fill a yoghurt pot
distilled water
access to a geranium plant – you will need enough plants for each pair to
take a cutting from
white tile
sharp knife
polythene bag
elastic band
adhesive label
Notes:
Be careful when using the knife. A knife or scalpel must be on the bench or held
Take care with sharp instruments. Cut away from the body. Follow dissection safety guidelines.</t>
  </si>
  <si>
    <t>• explain the process of selective breeding in plants and animals
• describe the process of micropropagation in plants
• explain the commercial benefits of micropropagation in plants.</t>
  </si>
  <si>
    <t>• gene pool: all the genes and alleles within a population
• meristem: region of plant tissue (root tips and shoot tips and cambium) consisting of stem cells that are undifferentiated and can divide
• micropropagation: tissue culture; a method used to develop many genetically identical plants from a parent plant by using explants</t>
  </si>
  <si>
    <t>1. Take a side stem from the large parent plant: place on a white tile and make a cut in the stem just below a node – the swollen part where the leaves come from.
2. Pull off the bottom two leaves.
3. Almost fill your yoghurt pot with compost and add distilled water so that the compost is moist.
4. Place your cutting in the compost.
5. Measure and note down the height of your cutting and the number of leaves it has.
6. Place the pot and its cutting in a polythene bag and tie the top with an elastic band or some thread. Label your pot.
7. Place on or near a windowsill where it is light but not too hot.
8. Examine each week and notice any growth. After 2 weeks, take the cutting out of the pot and notice any new root growth.
1. Dip the forceps into the bleach solution to make them sterile.
2. Using the forceps, carefully take one cress seedling at a time from the plain agar crystallising dish and be careful not to damage it.
3. Wash the seedling in the 10% bleach solution and rinse with distilled water.
4. Lay the seedling on the white tile and cut off one or two small pieces of the stem with leaves attached.
5. Using the sterile forceps, lay these pieces of stem horizontally onto the sugar / agar jelly in your Petri dish.
6. Repeat steps 2 to 5 once or twice more, depending on how many seedlings are available. Make sure all the leaf ends of the cut stems are in the same direction and note the direction.
7. Place the lid on the Petri dish and label it with your names.
8. Incubate at about 20 °C in the light.
9. Examine at daily intervals if possible, and note when you see new leaves and shoots developing.</t>
  </si>
  <si>
    <t>Cloning Mammals and Transgenic Animals</t>
  </si>
  <si>
    <t>5.19B describe the process used to produce Dolly the sheep as an example of adult cell cloning
5.20B understand how the process of genetic engineering/recombinant DNA technology involves the extraction of a gene from one organism and the insertion into another organism, using enzymes and vectors</t>
  </si>
  <si>
    <t>Pages 273–274</t>
  </si>
  <si>
    <t>Producing male mosquitoes whose offspring do not mature, therefore reducing the</t>
  </si>
  <si>
    <t>Lesson 96 — Cloning Mammals and Transgenic Animals
Specification Points:
5.19B +B85+E86
Pages 273–274</t>
  </si>
  <si>
    <t>• describe the principles involved in the cloning of mammals
• describe how Dolly the sheep was produced
• describe how transgenic animals can be used to produce human proteins.</t>
  </si>
  <si>
    <t>• enucleated: having the nucleus removed
• somatic: relating to the body
• transgenic: an organism that has DNA from another organism, usually of a different species, artificially introduced into it</t>
  </si>
  <si>
    <t>The Effect of Mutations on Variation</t>
  </si>
  <si>
    <t>3.33 understand that variation within a species can be genetic, environmental or a combination of both
3.34 understand that mutation is a rare, random change in genetic material that may be inherited
3.35B understand how a change in DNA can affect the phenotype by altering the sequence of amino acids in a protein
3.36B understand how most genetic mutations have no effect on the phenotype, some have a small effect and rarely do they have a significant effect</t>
  </si>
  <si>
    <t>Pages 233–234 and 238–239</t>
  </si>
  <si>
    <t>Lesson 97 — The Effect of Mutations on Variation
Specification Points:
3.33 understand that variation within a species can be genetic, environmental or a combination of both
3.34 understand that mutation is a rare, random change in genetic material that may be inherited
3.35B understand how a change in DNA can affect the phenotype by altering the sequence of amino acids in a protein
3.36B understand how most genetic mutations have no effect on the phenotype, some have a small effect and rarely do they have a significant effect
Pages 233–234 and 238–239</t>
  </si>
  <si>
    <t>• describe the causes of variation within a species
• describe the effects of a change in DNA sequence on the structure of proteins
• explain the effect of genetic mutation on the phenotype.</t>
  </si>
  <si>
    <t>• mutagen: something that causes a mutation</t>
  </si>
  <si>
    <t>Evolution</t>
  </si>
  <si>
    <t>3.37B understand that the incidence of mutations can be increased by exposure to ionising radiation (for example gamma rays, X-rays and ultra violet rays) and some chemical mutagens (for example chemicals in tobacco smoke)
3.38 explain Darwin’s theory of evolution by natural selection
3.39 understand how resistance to antibiotics can arise and increase in bacterial populations, by natural selection; and appreciate how such an increase can lead to infections being difficult to control</t>
  </si>
  <si>
    <t>Pages 261–267</t>
  </si>
  <si>
    <t>Lesson 98 — Evolution
Specification Points:
3.37B understand that the incidence of mutations can be increased by exposure to ionising radiation (for example gamma rays, X-rays and ultra violet rays) and some chemical mutagens (for example chemicals in tobacco smoke)
3.38 explain Darwin’s theory of evolution by natural selection
3.39 understand how resistance to antibiotics can arise and increase in bacterial populations, by natural selection; and appreciate how such an increase can lead to infections being difficult to control
Pages 261–267</t>
  </si>
  <si>
    <t>• describe the features that increase the incidence of mutations
• explain Darwin&amp;rsquo;s theory of natural selection as a mechanism for evolution
• explain how natural selection increases resistance to antibiotics in bacterial populations, why this is an example of evolution, and why it is a problem.</t>
  </si>
  <si>
    <t>• evolution: the gradual change in the inherited characteristics of a population over many generations
• natural selection: the process by which organisms with advantageous traits are more likely to survive and reproduce
• mutation: a random change in a gene or chromosome
• adaptation: a feature that helps an organism survive in its environment
• variation: differences between individuals of the same species</t>
  </si>
  <si>
    <t>Genetic Engineering</t>
  </si>
  <si>
    <t>5.12 understand how restriction enzymes are used to cut DNA at specific sites and ligase enzymes are used to join pieces of DNA together
5.13 understand how plasmids and viruses can act as vectors, which take up pieces of DNA, and then insert this recombinant DNA into other cells</t>
  </si>
  <si>
    <t>Pages 289–297</t>
  </si>
  <si>
    <t>Lesson 99 — Genetic Engineering
Specification Points:
5.12 understand how restriction enzymes are used to cut DNA at specific sites and ligase enzymes are used to join pieces of DNA together
5.13 understand how plasmids and viruses can act as vectors, which take up pieces of DNA, and then insert this recombinant DNA into other cells
Pages 289–297</t>
  </si>
  <si>
    <t>• describe the function of restriction enzymes, ligase enzymes, plasmids and viruses in genetic engineering
• explain how DNA can be inserted into a plasmid
• explain the processes that can be used to insert recombinant DNA into other cells.</t>
  </si>
  <si>
    <t>• ligase: an enzyme that catalyses the joining together of lengths of DNA
• recognition site: sequence of nucleotide bases in a length of DNA that are acted on by the restriction enzyme
• restriction enzyme: enzyme that cuts DNA; its active site fits the shape of a specific recognition site
• vector: carrier</t>
  </si>
  <si>
    <t>Genetically Modified Organisms</t>
  </si>
  <si>
    <t>5.14 understand how a large amount of insulin can be manufactured from genetically modified bacteria that are grown in a fermenter
5.15 understand how genetically modified plants can be used to improve food production
5.16 understand that the term transgenic means the transfer of genetic material from one species to a different species</t>
  </si>
  <si>
    <t>Pages 289–297 and 284–288, 301–302</t>
  </si>
  <si>
    <t>Lesson 100 — Genetically Modified Organisms
Specification Points:
5.14 understand how a large amount of insulin can be manufactured from genetically modified bacteria that are grown in a fermenter
5.15 understand how genetically modified plants can be used to improve food production
5.16 understand that the term transgenic means the transfer of genetic material from one species to a different species
Pages 289–297 and 284–288, 301–302</t>
  </si>
  <si>
    <t>• describe how bacteria can be genetically modified to produce human insulin
• describe the process and benefits of growing genetically modified bacteria in a fermenter
• describe how viruses can be used to produce genetically modified plants
• explain how genetically modified plants can be used to improve food production.</t>
  </si>
  <si>
    <t>• genetically modified organism (GMO): an organism whose DNA has been altered by genetic engineering
• transgenic: describing an organism that contains genetic material from another species
• fermenter: a large vessel used to grow microorganisms on an industrial scale
• genetic engineering: the process of modifying an organism's DNA by adding genes from another organism</t>
  </si>
  <si>
    <t>Ecosystems and Factors Affecting Them</t>
  </si>
  <si>
    <t>4.1 understand the terms population, community, habitat and ecosystem
4.5 understand how abiotic and biotic factors affect the population size and distribution of organisms</t>
  </si>
  <si>
    <t>Pages 187–193</t>
  </si>
  <si>
    <t>Lesson 103 — Ecosystems and Factors Affecting Them
Specification Points:
4.1 understand the terms population, community, habitat and ecosystem
4.5 understand how abiotic and biotic factors affect the population size and distribution of organisms
Pages 187–193</t>
  </si>
  <si>
    <t>• define the terms population, community, habitat and ecosystem
• apply the terms population, community, habitat and ecosystem to examples
• explain how biotic and abiotic factors affect population size and the distribution of organisms.</t>
  </si>
  <si>
    <t>• abiotic factor: variable caused by non-living things that can change an ecosystem (e.g. light intensity, temperature, pH)
• bias: when data has been influenced by a person
• biotic factor: variable caused by living things that can change an ecosystem (e.g. predation, competition, food availability, disease)
• consumer: organism that eats other organisms for food
• decomposer: fungus or microorganism that feeds on and breaks down animal wastes and / or dead organisms
• ecosystem: all the living organisms and non-living factors that interact with one another in an area
• estimate: approximate value
• habitat: place in which an organism lives (e.g. desert, seashore)
• producer: organism that produces its own food (e.g. plants, algae)
• quadrat: square frame of known area, such as 1 m2 , that is placed on the ground to get a sample of the organisms living in an area
• sample: small part of something; if you sample something, you take a small part of it – you use your results from the sample to estimate what the rest of the thing is like</t>
  </si>
  <si>
    <t>Core Practical – Investigating Population Size</t>
  </si>
  <si>
    <t>4.2 practical: investigate the population size of an organism in two different areas using quadrats</t>
  </si>
  <si>
    <t>Pages 189–190
Lab Book: Pages 61–64</t>
  </si>
  <si>
    <t>Quadrat
Measuring tapes (at least 2, length &gt;10 m)
U-shaped pegs (optional, to hold tapes in place)
Field guide (optional)
Light meter (optional)
Moisture meter (optional)
pH meter (optional)
Disposable gloves
Hand sanitiser
at least four long measuring tapes (&gt; 10 m) if marking out survey areas for
students
two measuring tapes</t>
  </si>
  <si>
    <t>Take care in the field. Be aware of uneven ground, stinging plants, and wildlife. Wash hands after fieldwork.</t>
  </si>
  <si>
    <t>Lesson 104 — Core Practical – Investigating Population Size
Specification Points:
4.2 practical: investigate the population size of an organism in two different areas using quadrats
Pages 189–190
Lab Book: Pages 61–64
Requisitions:
Quadrat
Measuring tapes (at least 2, length &gt;10 m)
U-shaped pegs (optional, to hold tapes in place)
Field guide (optional)
Light meter (optional)
Moisture meter (optional)
pH meter (optional)
Disposable gloves
Hand sanitiser
at least four long measuring tapes (&gt; 10 m) if marking out survey areas for
students
two measuring tapes
Notes:
Take care in the field. Be aware of uneven ground, stinging plants, and wildlife. Wash hands after fieldwork.</t>
  </si>
  <si>
    <t>• describe how to use a quadrat to sample a habitat
• use sample data to estimate population size
• explain how to collect samples so that accurate population estimates can be calculated.</t>
  </si>
  <si>
    <t>• bias: when data has been influenced by a person
• quadrat: square frame of known area, such as 1 m2, that is placed on the ground to get a sample of the organisms living in that area</t>
  </si>
  <si>
    <t>1. In the first survey area, set out two measuring tapes at right angles to each other.
2. Extend both measuring tapes to 10 m (to form two sides of a square).
3. Choose a random number from 0–9. Your teacher will tell you how to do this.
4. Ask a person in your group to walk this number of metres along one tape and stop.
5. Choose another random number from 0–9.
6. Ask another person to walk this number of metres along the other tape and stop.
7. Both people should then walk at right angles from their tapes until they meet.
8. Place one corner of the quadrat at the point where the two people meet.
9. Count the number of plants that you are investigating. Count all the plants that are inside the quadrat and any plant that is more than halfway into the quadrat.
10. Repeat steps 3–9 nine times. Record the number of plants in each quadrat in a table.
11. Your teacher may ask you to take readings of abiotic factors. Record any readings you take.
12. Go to another area and repeat steps 1–11.</t>
  </si>
  <si>
    <t>Core Practical - Investigating the Distribution of Organisms and Biodiversity</t>
  </si>
  <si>
    <t>4.3B understand the term biodiversity
4.4B practical: investigate the distribution of organisms in their habitats and measure biodiversity using quadrats</t>
  </si>
  <si>
    <t>Pages 190−192
Lab Book: Pages 65−67</t>
  </si>
  <si>
    <t>Measuring tape (&gt;10 m, one per belt transect)
Quadrat
U-shaped pegs (optional, to hold tape in place)
Field guide (optional)
Light meter (optional)
Moisture meter (optional)
pH meter (optional)
Disposable gloves
Hand sanitiser</t>
  </si>
  <si>
    <t>Lesson 105 — Core Practical - Investigating the Distribution of Organisms and Biodiversity
Specification Points:
4.3B understand the term biodiversity
4.4B practical: investigate the distribution of organisms in their habitats and measure biodiversity using quadrats
Pages 190−192
Lab Book: Pages 65−67
Requisitions:
Measuring tape (&gt;10 m, one per belt transect)
Quadrat
U-shaped pegs (optional, to hold tape in place)
Field guide (optional)
Light meter (optional)
Moisture meter (optional)
pH meter (optional)
Disposable gloves
Hand sanitiser
Notes:
Take care in the field. Be aware of uneven ground, stinging plants, and wildlife. Wash hands after fieldwork.</t>
  </si>
  <si>
    <t>• recall what is meant by biodiversity
• use a belt transect to investigate the distribution of organisms
• use a sampling method involving a quadrat to investigate biodiversity.</t>
  </si>
  <si>
    <t>• belt transect: sampling method that measures distribution, using quadrats taken at regular intervals along a line
• biodiversity: how varied the organisms in an area are; the most biodiverse areas contain a lot of different species and many individuals of each species
• even distribution: when the same numbers of an organism are found in all parts of an area
• percentage cover: area that a certain plant covers compared to the whole, and expressed as a percentage; for example, a quadrat that is half covered by grass is 50% cover of grass
• uneven distribution: when there are more individuals of a species in some parts of an area than in other parts</t>
  </si>
  <si>
    <t>1. Look for a place where there is a change in a biotic or abiotic factor (e.g. from under a tree and out into the open). Your teacher may tell you where to look.
2. Extend the measuring tape to 20 m in a straight line.
3. You need to make your measurements at regular intervals along the transect line (as shown in the diagram). Decide what intervals you are going to use (e.g. every 2 metres).
4. Lay the quadrat down so that one edge is perpendicular to the measuring tape, and one corner is at the 0 mark.
5. Count the number of individuals of your plant of interest in your quadrat (or work out the percentage cover).
6. Count the number of different species in your quadrat.
7. Optional: Place a meter at the centre of the quadrat and make a reading for an abiotic factor. Your teacher will tell you how to do this.
8. Record your results in the table below.
9. Repeat steps 4–8 at each measurement point along the transect.</t>
  </si>
  <si>
    <t>Feeding Relationships</t>
  </si>
  <si>
    <t>4.6 understand the names given to different trophic levels, including producers, primary, secondary and tertiary consumers and decomposers
4.7 understand the concepts of food chains, food webs, pyramids of number, pyramids of biomass and pyramids of energy transfer
4.8 understand the transfer of substances and energy along a food chain</t>
  </si>
  <si>
    <t>Pages 194−196</t>
  </si>
  <si>
    <t>Lesson 106 — Feeding Relationships
Specification Points:
4.6 understand the names given to different trophic levels, including producers, primary, secondary and tertiary consumers and decomposers
4.7 understand the concepts of food chains, food webs, pyramids of number, pyramids of biomass and pyramids of energy transfer
4.8 understand the transfer of substances and energy along a food chain
Pages 194−196</t>
  </si>
  <si>
    <t>• describe the different trophic levels of feeding relationships in an ecosystem
• construct and interpret food chains and food webs
• explain the concepts of a pyramid of numbers and a pyramid of biomass.</t>
  </si>
  <si>
    <t>• biomass: total mass of a living thing or group of living things (usually ‘dry mass’, which is the mass without water)
• carnivore: animal that eats other animals
• consumer: organism that eats other organisms for food
• decomposer: fungus, microorganism or invertebrate that feeds on and breaks down animal wastes and / or dead organisms
• food chain: way to represent the energy in food that is passed from one organism to another
• food web: way to show how several food chains are interconnected in an ecosystem
• herbivore: animal that eats plants
• omnivore: animal that eats both plants and animals
• predator: organism that catches and eats other animals for food
• prey: animal that is food for a predator
• primary consumer: the first consumer in a food chain; herbivores are primary consumers
• producer: organism that produces its own food (e.g. plants, algae)
• pyramid of biomass: diagram showing trophic levels in a food chain stacked on top of each other, with the lengths of each bar representing biomass
• pyramid of numbers: diagram showing trophic levels in a food chain stacked on top of each other, with the lengths of each bar representing the total number of individuals
• secondary consumer: second consumer in a food chain
• tertiary consumer: third consumer in a food chain
• top carnivore: last animal in a food chain, with no predators; also called an apex predator
• trophic level: position of an organism in food chains in an ecosystem</t>
  </si>
  <si>
    <t>Energy Transfer</t>
  </si>
  <si>
    <t>4.7 understand the concepts of food chains, food webs, pyramids of number, pyramids ofbiomass and pyramids of energy transfer
4.8 understand the transfer of substances and energy along a food chain
4.9 understand why only about 10% of energy is transferred from one trophic level to the next
5.4 understand the reasons for pest control and the advantages and disadvantages of using pesticides and biological control with crop plants</t>
  </si>
  <si>
    <t>Pages 208–210</t>
  </si>
  <si>
    <t>Lesson 107 — Energy Transfer
Specification Points:
4.7 understand the concepts of food chains, food webs, pyramids of number, pyramids ofbiomass and pyramids of energy transfer
4.8 understand the transfer of substances and energy along a food chain
4.9 understand why only about 10% of energy is transferred from one trophic level to the next
5.4 understand the reasons for pest control and the advantages and disadvantages of using pesticides and biological control with crop plants
Pages 208–210</t>
  </si>
  <si>
    <t>• use pyramids of energy transfer to model the transfer of energy along a food chain
• explain how some energy is transferred to the next trophic level, and why most energy is not transferred
• explain the advantages and disadvantages of using pesticides and biological control on crop plants.</t>
  </si>
  <si>
    <t>• bioaccumulation: build-up of persistent substances in the bodies of organisms
• biological control: controlling pests using natural consumers of pest organisms
• biomagnification: increase in the concentration of persistent substances along a food chain
• persistent pesticide: artificial substance used to kill pests that does not break down in the environment and so lasts for a very long time
• pest: organism that damages things that humans want to use (e.g. crops)
• pesticide resistance: when a pest is no longer affected by a pesticide (due to natural selection)
• pesticide: substance used for controlling or killing pests
• pyramid of energy transfer: diagram showing trophic levels in a food chain stacked on top of each other, with the length of each bar representing energy
• yield: the amount of useful product obtained from an organism</t>
  </si>
  <si>
    <t>Fish Farming</t>
  </si>
  <si>
    <t>5.9B understand the methods used to farm large numbers of fish to provide a source of protein, including maintaining water quality, controlling intraspecific and interspecific predation, controlling disease, removing waste products, controlling the quality and frequency of feeding, and selective breeding</t>
  </si>
  <si>
    <t>Page 211</t>
  </si>
  <si>
    <t>Lesson 108 — Fish Farming
Specification Points:
5.9B understand the methods used to farm large numbers of fish to provide a source of protein, including maintaining water quality, controlling intraspecific and interspecific predation, controlling disease, removing waste products, controlling the quality and frequency of feeding, and selective breeding
Page 211</t>
  </si>
  <si>
    <t>• describe the process of fish farming
• consider the benefits and drawbacks of fish farming
• explain how abiotic and biotic factors that affect the production of fish are controlled.</t>
  </si>
  <si>
    <t>• abiotic factor: variable caused by non-living things that can change an ecosystem (e.g. light intensity, temperature, pH)
• biotic factor: variable caused by living things that can change an ecosystem (e.g. predation, competition, food availability, disease)
• eutrophication: high concentrations of nutrients in an aquatic habitat
• fish farming: growing fish in captivity for food
• indigenous: organisms that have always been in an area
• interspecific competition: competition between members of different species
• intraspecific competition: competition between members of the same species
• non-indigenous: organisms in an area that have been introduced from elsewhere
• overfishing: taking more fish from a population than are replaced by the fish reproducing, so that the population falls over time
• parasite: an organism that lives in or on another organism, which it harms by feeding on it</t>
  </si>
  <si>
    <t>The Carbon Cycle</t>
  </si>
  <si>
    <t>4.10 describe the stages in the carbon cycle, including respiration, photosynthesis, decomposition and combustion
4.18B understand the effects of deforestation, including leaching, soil erosion, disturbance of evapotranspiration and the carbon cycle, and the balance of atmospheric gases</t>
  </si>
  <si>
    <t>Pages 197–198 and 215–216</t>
  </si>
  <si>
    <t>Lesson 109 — The Carbon Cycle
Specification Points:
4.10 describe the stages in the carbon cycle, including respiration, photosynthesis, decomposition and combustion
4.18B understand the effects of deforestation, including leaching, soil erosion, disturbance of evapotranspiration and the carbon cycle, and the balance of atmospheric gases
Pages 197–198 and 215–216</t>
  </si>
  <si>
    <t>• describe how carbon is recycled in the environment, through the carbon cycle
• describe the effects of respiration, photosynthesis, decomposition and combustion on the balance of gases in the atmosphere
• explain a range of effects caused by deforestation: flooding, erosion, leaching, local temperature increase.</t>
  </si>
  <si>
    <t>• assimilation: the processes by which organisms get nutrients and make them into new substances in their bodies
• biodiversity: how varied the organisms in an area are; the most biodiverse areas contain a lot of different species and many individuals of each species
• carbon cycle: the series of processes by which carbon atoms are recycled in the environment
• combustion: a chemical reaction that takes place between oxygen and certain fuels; carbon dioxide and water are released, and energy is released
• decomposition: breaking down large, complex organic molecules into simpler ones
• deforestation: clearing of forests (e.g. for farming, housing)
• erosion: when soil or rock particles are carried away by water, glaciers or the wind
• evapotranspiration: water vapour entering the atmosphere by transpiration from plants and evaporation from the soil
• fossil fuel: fuel made from prehistoric organisms by certain fossilisation processes
• fossilisation: a process that preserves parts of prehistoric organisms or traces of them
• leaching: a process in which soluble mineral ions are dissolved and washed out of soil by flowing water
• organic compound: a compound that contains carbon–carbon and / or carbon–hydrogen bonds
• transpiration: evaporation of water from the surface of a plant</t>
  </si>
  <si>
    <t>The Nitrogen Cycle</t>
  </si>
  <si>
    <t>4.11B describe the stages in the nitrogen cycle, including the roles of nitrogen-fixing bacteria, decomposers, nitrifying bacteria and denitrifying bacteria (specific names of bacteria are not required)</t>
  </si>
  <si>
    <t>Pages 199 and 207</t>
  </si>
  <si>
    <t>Lesson 110 — The Nitrogen Cycle
Specification Points:
4.11B describe the stages in the nitrogen cycle, including the roles of nitrogen-fixing bacteria, decomposers, nitrifying bacteria and denitrifying bacteria (specific names of bacteria are not required)
Pages 199 and 207</t>
  </si>
  <si>
    <t>• describe the roles of plants, animals, decomposers and microorganisms in the nitrogen cycle
• describe how nitrogen is cycled through nitrogen gas and ammonium, nitrate and nitrite ions
• explain how nitrogen compounds can be added to soils.</t>
  </si>
  <si>
    <t>• crop rotation: when a different crop is planted in the same field each year in a 3- or 4-year cycle, with legumes often being grown one year
• denitrifying bacteria: bacteria that convert nitrates into nitrogen gas
• legume: family of plants that have root nodules (e.g. peas, beans, clover)
• nitrifying bacteria: bacteria that convert ammonium compounds into nitrites and nitrates
• nitrogen cycle: series of processes by which nitrogen atoms are recycled in the environment
• nitrogen-fixing bacteria: bacteria that convert nitrogen gas into ammonium compounds
• root nodules: structures found on the roots of legumes, in which nitrogen-fixing bacteria live</t>
  </si>
  <si>
    <t>Eutrophication</t>
  </si>
  <si>
    <t>4.16 understand the biological consequences of pollution of water by sewage
4.17 understand the biological consequences of eutrophication caused by leached minerals from fertiliser</t>
  </si>
  <si>
    <t>Pages  216–217</t>
  </si>
  <si>
    <t>Lesson 111 — Eutrophication
Specification Points:
4.16 understand the biological consequences of pollution of water by sewage
4.17 understand the biological consequences of eutrophication caused by leached minerals from fertiliser
Pages  216–217</t>
  </si>
  <si>
    <t>• describe how eutrophication occurs
• explain the effects of eutrophication on an ecosystem
• explain the effects of untreated sewage on an ecosystem.</t>
  </si>
  <si>
    <t>• algal bloom: an increase in the growth of algae because of increased levels of nutrients in water
• anoxic: the state of water when there is little or no dissolved oxygen in it
• eutrophication: high concentrations of nutrients in an aquatic habitat
• indicator species: an organism that provides information about a certain environmental condition (e.g. by its presence or absence)
• sewage: wastewater that contains wastes from homes, offices and factories, including human urine and faeces</t>
  </si>
  <si>
    <t>Air Quality</t>
  </si>
  <si>
    <t>4.12 understand the biological consequences of pollution of air by sulfur dioxide and carbon monoxide
4.13 understand that water vapour, carbon dioxide, nitrous oxide, methane and CFCs are greenhouse gases
4.14 understand how human activities contribute to greenhouse gases
4.15 understand how an increase in greenhouse gases results in an enhanced greenhouse effect, and that this may lead to global warming and its consequences</t>
  </si>
  <si>
    <t>Pages 211–215</t>
  </si>
  <si>
    <t>two empty clear 2-litre plastic fizzy drinks bottles
two cored bungs
two temperature probes and datalogger(s)
sticky tack or modelling clay
large measuring cylinder
narrow, sharp point (e.g. mounted needle, drawing compass)
effervescent tablets or powders (e.g. effervescent antacids)
lukewarm water
10⁰ W lamp</t>
  </si>
  <si>
    <t>• Take care when making the small holes in the bottles.
• Mop up any spills immediately.</t>
  </si>
  <si>
    <t>Lesson 112 — Air Quality
Specification Points:
4.12 understand the biological consequences of pollution of air by sulfur dioxide and carbon monoxide
4.13 understand that water vapour, carbon dioxide, nitrous oxide, methane and CFCs are greenhouse gases
4.14 understand how human activities contribute to greenhouse gases
4.15 understand how an increase in greenhouse gases results in an enhanced greenhouse effect, and that this may lead to global warming and its consequences
Pages 211–215
Requisitions:
two empty clear 2-litre plastic fizzy drinks bottles
two cored bungs
two temperature probes and datalogger(s)
sticky tack or modelling clay
large measuring cylinder
narrow, sharp point (e.g. mounted needle, drawing compass)
effervescent tablets or powders (e.g. effervescent antacids)
lukewarm water
100 W lamp
Notes:
Mop up any spills immediately.
Wear eye protection. Handle acids and alkalis with care; wash any splashes off skin immediately.
Take care with sharp instruments. Cut away from the body. Follow dissection safety guidelines.</t>
  </si>
  <si>
    <t>• describe the effects of carbon monoxide and sulfur dioxide on organisms
• describe how human activities increase the greenhouse gases in the atmosphere
• explain the effect of greenhouse gases on the Earth.</t>
  </si>
  <si>
    <t>• acid rain: rain with a pH less than 5.5, containing sulfuric and nitric acids
• climate change: changes to global weather patterns due to global warming
• global warming: increase in the Earth’s average temperature caused by increased amounts of greenhouse gases in the atmosphere
• greenhouse effect: when gases in the air absorb energy transferred by infrared waves from the Earth, and so keep ‘heat’ in the atmosphere
• greenhouse gas: a gas that helps to trap ‘heat’ in the atmosphere; examples include carbon dioxide, methane and nitrous oxide
• pollutant: something (e.g. a substance) that can harm an ecosystem
• pollution: when high levels of a pollutant cause harm</t>
  </si>
  <si>
    <t>• Explain how the experiment has been set up (see ‘Preparation for demonstration’).
• Take readings from the two temperature probes in the two bottles.
• Compare these values to the starting temperatures. It is best to calculate the percentage temperature change, to account for different starting temperatures in the two bottles. \(\text{% temperature change = }\displaystyle{\frac{\text{end temperature - start temperature }}{\mathrm{start}\;\mathrm{temperature}\;}}\times 10⁰ \)
• Students may be unimpressed with the effect of carbon dioxide. However, point out that this simple experiment shows that the effect is real and that scientists think an increase of just 2 °C in global average temperature will have catastrophic effects.</t>
  </si>
  <si>
    <t>Test 7</t>
  </si>
  <si>
    <t>Food samples that contain glucose will turn from cloudy orange to a brick-red precipitate after heating. If no glucose is present the sample remains a clear blue colour.
Samples that contain starch turn blue-black when tested with iodine. Samples that do not contain starch remain orange-brown when tested with iodine.
Glucose test resultsFood samples that contain glucose will turn from cloudy orange to a brick-red precipitate after heating. If no glucose is present the sample remains a clear blue colour.
Starch test resultsSamples that contain starch turn blue-black when tested with iodine. Samples that do not contain starch remain orange-brown when tested with iodine.</t>
  </si>
  <si>
    <t>States of Matter</t>
  </si>
  <si>
    <t>1.1 understand the three states of matter in terms of the arrangement, movement, and energy of the particles
1.2 understand the interconversions between the three states of matter in terms of:
• the names of the interconversions
• how they are achieved
• the changes in arrangement, movement, and energy of the particles</t>
  </si>
  <si>
    <t>Pages 3–6</t>
  </si>
  <si>
    <t>Practical Name: Cooling curves
Practical Type: Student practical
Equipment Required:
Stop clock, test-tube rack, boiling tube, thermometer, mineral fibre/cotton wool
Chemicals Required:
1,4-dichlorobenzene OR hexadecan-1-ol OR salol (phenyl 2-hydroxybenzoate)
Safety Notes:
Eye protection; care with hot apparatus</t>
  </si>
  <si>
    <t>• Eye protection should be worn.
• Care should be taken with hot apparatus.</t>
  </si>
  <si>
    <t>Lesson 1 — States of Matter
Specification Points:
1.1 understand the three states of matter in terms of the arrangement, movement, and energy of the particles
1.2 understand the interconversions between the three states of matter in terms of:
• the names of the interconversions
• how they are achieved
• the changes in arrangement, movement, and energy of the particles
Pages 3–6
Requisitions:
Practical Name: Cooling curves
Practical Type: Student practical
Equipment Required:
Stop clock, test-tube rack, boiling tube, thermometer, mineral fibre/cotton wool
Chemicals Required: 
1,4-dichlorobenzene OR hexadecan-1-ol OR salol (phenyl 2-hydroxybenzoate)
Safety Notes: 
Eye protection; care with hot apparatus
Notes:
not boiling tubes they take too long to cool
Place the steric acid test tubes in the water bath at least 1 hour before the lesson
Data processing may take more than 1 lesson
Eye protection should be worn.
Care should be taken with hot apparatus.
Handle glassware carefully. Report any breakages to the teacher immediately.</t>
  </si>
  <si>
    <t>• describe the arrangement, movement, and energy of the particles in the three states of matter
• link the properties of the three states of matter to the particle arrangements
• explain how changes of state are achieved.</t>
  </si>
  <si>
    <t>• boiling point: the temperature at which a liquid boils and changes to a gas
• condensing: the change of state from a gas to a liquid
• density: the mass per unit volume; it represents how tightly packed the particles are in a fixed volume
• deposition: the change of state from a gas directly to a solid
• evaporation: the change of state from a liquid to a gas that occurs below the boiling point and only at the surface of a liquid
• freezing: the change of state from a liquid to a solid
• melting point: the temperature at which a solid melts and changes to a liquid
• particle model: a way of describing the arrangement and movement of particles
• physical property: any characteristic of a substance that can be determined without changing the substance’s chemical identity
• state of matter: the condition in which matter exists (solid, liquid or gas)
• sublimation: the change of state from a solid directly to a gas</t>
  </si>
  <si>
    <t>1. Read steps 2 to 5 and then draw a table suitable for your results.
2. Collect a boiling tube of the test substance from your teacher and put it in the test-tube rack.
3. Use the thermometer to stir the test substance gently – record its temperature and immediately start the stop clock. Record the appearance of the test substance.
4. Every minute gently stir the test substance and record its temperature and appearance.
5. Repeat step 4 for a total of 20 minutes, or as directed by your teacher.</t>
  </si>
  <si>
    <t xml:space="preserve">Diffusion and Solutions </t>
  </si>
  <si>
    <t>1.3 understand how the results of experiments involving the dilution of coloured solutions and diffusion of gases can be explained
1.4 know what is meant by the terms:
• solvent
• solute
• solution
• saturated solution
1.5C know what is meant by the term solubility in the units g per 100 g of solvent</t>
  </si>
  <si>
    <t>Pages 6–9</t>
  </si>
  <si>
    <t>Practical Name: Dilution of coloured solution
Practical Type: Student practical
Equipment Required:
8 boiling/test tubes, pipettes, test tube rack, 10 cm³ measuring cylinder
Chemicals Required:
Food dye, water
Safety Notes:
None (if using food dye)
Additional equipment (lesson resources):
two clear, glass beakers
50 g sand 50 g sugar or salt</t>
  </si>
  <si>
    <t>There are no safety concerns to consider for this practical.</t>
  </si>
  <si>
    <t>Lesson 2 — Diffusion and Solutions
Specification Points:
1.3 understand how the results of experiments involving the dilution of coloured solutions and diffusion of gases can be explained
1.4 know what is meant by the terms:
• solvent
• solute
• solution
• saturated solution
1.5C know what is meant by the term solubility in the units g per 100 g of solvent
Pages 6–9
Requisitions:
Practical Name: Dilution of coloured solution
Practical Type: Student practical
Equipment Required:
8 boiling/test tubes, pipettes, test tube rack, 10 cm³ measuring cylinder
Chemicals Required: 
Food dye, water
Safety Notes: 
None (if using food dye)
Additional equipment (lesson resources):
two clear, glass beakers
50 g sand 50 g sugar or salt
Notes:
Wear eye protection when handling solutions.
Take care with hot apparatus. Do not touch hot equipment directly. Use tongs or heat-proof mats.
Handle glassware carefully. Report any breakages to the teacher immediately.</t>
  </si>
  <si>
    <t>• define the terms diffusion, solvent, solute, solution and saturated
• describe and use the example of potassium manganate (VII) changing colour when it is diluted
• explain the results of experiments involving the dilution of coloured solutions and diffusion of gases
• describe how a solution is made
• define the term solubility in the units g per 10⁰ g of solvent.</t>
  </si>
  <si>
    <t>• diffusion: the spreading out of particles from an area of high concentration to an area of low concentration
• solvent: the liquid in which a solute dissolves to form a solution
• solute: the substance that dissolves in a solvent
• solution: a mixture formed when a solute dissolves in a solvent
• saturated solution: a solution in which no more solute can dissolve at that temperature</t>
  </si>
  <si>
    <t>1. Hold a beaker of water so students can see it, or if possible, use a visualiser to display the beaker so students can clearly see what you are doing.
2. Add some sugar/salt to the water. Ask: What is the solvent? (Answer: Water.); What is the solute? (Answer: The sugar/salt.) and What is the solution? (Answer: The sugar/salt solution.)
3. Explain that the sugar/salt has dissolved. A substance is considered dissolved when it breaks up into very small pieces, cannot be seen and the solution remains clear. It is important to realise that the solution does not need to be colourless – for example, orange squash produces a coloured solution, but the squash is dissolved.
4. Keep adding sugar/salt. Ask students: What will eventually happen? (Answer: At some point no more sugar/salt will dissolve, and it will be seen at the bottom of the beaker.) Tell students this is known as a saturated solution .
5. Repeat the process in a new beaker of water with sand. This time the sand will not dissolve, Ask students: What is happening here? (Answer: The sand is insoluble; it can be still seen; it does not mix with the water.)
6. Show the definitions. Tell students to make a note of any they struggled with.
1. Place eight test tubes into a test tube rack and add 9 cm³ of water into each test tube.
2. Add 1 cm³ of dye into the first test tube and give the tube a gentle stir/shake to mix thoroughly.
3. Take a 1 cm³ sample of solution from test tube 1 and add this to test tube 2. Give the tube a gentle stir/shake to mix thoroughly.
4. Continue to take a 1cm³ sample from each tube and add this sample to the next tube until the colour of the dye can no longer be seen in the solution.
5. Record the colours in each test tube by drawing what can be seen. Use coloured pencils to show the colour graduation. You might find it easier to hold the test tubes against a white background (such as a piece of white paper) to view the correct colour of the solution.</t>
  </si>
  <si>
    <t>Solubility Curves</t>
  </si>
  <si>
    <t>1.5C know what is meant by the term solubility in the units g per 100 g of solvent
1.6C understand how to plot and interpret solubility curves
1.7C practical: investigate the solubility of a solid in water at a specific temperature</t>
  </si>
  <si>
    <t>Pages 8–12
Lab Book: Pages 2–4</t>
  </si>
  <si>
    <t>Practical Name: Investigating solubility of a solid in water
Practical Type: Student practical
Equipment Required:
10⁰ cm³ beaker, 250 cm³ beaker, Bunsen burner, conical flask, digital balance, evaporating basin, filter funnel &amp; paper, stirring rod, spatula, thermometer, water baths, ice
Chemicals Required:
Powdered solid (NaCl, NH₄Cl or KNO₃), distilled water
Safety Notes:
Eye protection; gentle heating to prevent spitting</t>
  </si>
  <si>
    <t>Take care with hot apparatus. Do not touch hot equipment directly. Use tongs or heat-proof mats.
Wear eye protection throughout the practical.</t>
  </si>
  <si>
    <t>Lesson 3 — Solubility Curves
Specification Points:
1.5C know what is meant by the term solubility in the units g per 100 g of solvent
1.6C understand how to plot and interpret solubility curves
1.7C practical: investigate the solubility of a solid in water at a specific temperature
Pages 8–12
Lab Book: Pages 2–4
Requisitions:
Practical Name: Investigating solubility of a solid in water
Practical Type: Student practical
Equipment Required:
100 cm³ beaker, 250 cm³ beaker, Bunsen burner, conical flask, digital balance, evaporating basin, filter funnel &amp; paper, stirring rod, spatula, thermometer, water baths, ice
Chemicals Required: 
Powdered solid (NaCl, NH₄Cl or KNO₃), distilled water
Safety Notes: 
Eye protection; gentle heating to prevent spitting
Notes:
Take care with hot apparatus. Do not touch hot equipment directly. Use tongs or heat-proof mats.
Wear eye protection throughout the practical.</t>
  </si>
  <si>
    <t>• describe how to investigate the solubility of a solid in water at a specific
 temperature
• use the results of a solubility investigation to plot a solubility curve
• interpret solubility curves
• calculate solubility in g per 10⁰ g of solvent
• compare solubility of the same substance at different temperatures.</t>
  </si>
  <si>
    <t>• insoluble: a term to describe a substance that will not
 dissolve in a solvent
• saturated: a solution that contains as much dissolved solid as
 possible at a particular temperature
• solubility curve: a graph showing how the solubility of a
 solute in a particular solvent changes with temperature
• solubility: the mass of solute which must dissolve in
 10⁰ g of solvent at that temperature so that it forms a saturated
 solution</t>
  </si>
  <si>
    <t>Elements, Compounds and Mixtures</t>
  </si>
  <si>
    <t>1.8 understand how to classify a substance as an element, compound, or mixture
1.9 understand that a pure substance has a fixed melting and boiling point, but that a mixture may melt or boil over a range of temperatures</t>
  </si>
  <si>
    <t>Pages 14–16 and 22</t>
  </si>
  <si>
    <t>Practical Name: Compounds and Mixtures
Practical Type: No practical work
Equipment Required:
N/A
Chemicals Required:
N/A
Safety Notes:
N/A</t>
  </si>
  <si>
    <t>Lesson 4 — Elements, Compounds and Mixtures
Specification Points:
1.8 understand how to classify a substance as an element, compound, or mixture
1.9 understand that a pure substance has a fixed melting and boiling point, but that a mixture may melt or boil over a range of temperatures
Pages 14–16 and 22
Requisitions:
Practical Name:  Compounds and Mixtures
Practical Type: No practical work
Equipment Required:
N/A
Chemicals Required: 
N/A
Safety Notes: 
N/A</t>
  </si>
  <si>
    <t>• define the terms element, compound, and mixture
• identify elements, compounds, and mixtures from particle diagrams
• identify elements, compounds, and mixtures from names/formulae
• describe the difference in melting and boiling points between pure substances and mixtures.</t>
  </si>
  <si>
    <t>• atom: the smallest piece of an element that can still be recognised as that element
• atomic number: the number of protons in an atom
• compound: a substance that forms when two or more elements chemically combine; the elements cannot be separated by physical means
• element: a substance that cannot be split into anything simpler by chemical means; all atoms in an element have the same atomic number
• mixture: two or more substances that are not chemically combined and that can be separated by physical means
• particle: a small object; in chemistry, particle can be used to refer to atoms, molecules, ions, or the subatomic particles including protons, neutrons, and electrons
• pure: a single substance with a fixed composition that does not have anything else mixed with it</t>
  </si>
  <si>
    <t>Separating Mixtures</t>
  </si>
  <si>
    <t>1.8 	understand how to classify a substance as an element, compound, or mixture
1.10 describe these experimental techniques for the separation of mixtures:
•	filtration
•	crystallisation</t>
  </si>
  <si>
    <t>Pages 14–17</t>
  </si>
  <si>
    <t>Rock salt (mixture of salt and sand)
Filter paper
Evaporating dishes
Sodium thiosulfate (solid fresh)
Additional equipment (lesson resources):
sodium chloride solution (50 cm³)
tripod
gauze
glass rod
evaporating basin
Bunsen burner
beaker containing water (optional)</t>
  </si>
  <si>
    <t>• Eye-protection should be worn during this demonstration and heatproof gloves worn when handing hot equipment.
• Ensure that you are entirely satisfied with student plans before they carry them out. An additional risk assessment is advised as groups will be using various pieces of equipment but at different times. For example, you might decide on having one part of the lab where heating happens, and filtering in another area, or you might insist on precautions for heating throughout (i.e., wearing eye protection, long hair tied back) regardless of the low risk of filtering a sand–salt solution.
• Depending on the ability and behaviour of the group, you will need to decide whether this increases the risk of the practical beyond a level you feel comfortable with. It is possible for some groups to start heating directly and others to use a water bath.
• Students should take care when heating to dryness because it may cause spitting – eye protection should be worn.
• Students should also be careful with hot objects. They should be reminded to allow equipment to cool before handling it or use heatproof gloves when moving the equipment.</t>
  </si>
  <si>
    <t>Lesson 5 — Separating Mixtures
Specification Points:
1.8 	understand how to classify a substance as an element, compound, or mixture
1.10 describe these experimental techniques for the separation of mixtures:
•	filtration
•	crystallisation
Pages 14–17
Requisitions:
Rock salt (mixture of salt and sand)
Filter paper
Evaporating dishes
Sodium thiosulfate (solid fresh)
Additional equipment (lesson resources):
sodium chloride solution (50 cm³)
tripod
gauze
glass rod
evaporating basin
Bunsen burner
beaker containing water (optional)
Notes:
Wear eye protection throughout this practical.
Heating solid sodium thiosulfate will liberate the water of crystalisation and dissolve the solid without adding any water. If you then allow it to cool and seed with a crystal of sodium thioslufate the solid  crystal reforms.
Eye-protection should be worn during this demonstration and heatproof gloves worn when handing hot equipment.
Take care with hot apparatus. Do not touch hot equipment directly. Use tongs or heat-proof mats.</t>
  </si>
  <si>
    <t>• explain why mixtures are easy to separate, whereas compounds are not
• describe the processes of filtration and crystallisation
• describe how a mixture of salt and sand may be separated.</t>
  </si>
  <si>
    <t>• crystallisation: a process in which a solute (soluble solid) is obtained from a solvent
• filtrate: the liquid that passes through the filter paper during filtration
• filtration: a process to separate an insoluble solid from a liquid
• residue: the substance left on the filter paper after filtration</t>
  </si>
  <si>
    <t>1. Pour 25 cm³ of sodium chloride solution into an evaporating basin.
2. For slower heating, the evaporating basin may be placed on top of a beaker of water that is heated on a gauze and tripod using a Bunsen burner.
3. For faster heating, the Bunsen burner may be used directly to heat the evaporating basin (without the water in the beaker), but the Bunsen burner should be set to a less intense flame to prevent spitting and possible decomposition of salts.
4. After a few minutes it should be possible to see that only salt is left in the evaporating basin as the water has evaporated. Use a stirring rod to scrap any salt off the evaporating basin – use some tongs to hold the basin in place as it will be hot.
1. Weigh 5 g of the first rock salt mixture.
2. Mix the rock salt mixture with water.
3. Pour the mixture through filter paper in a filter funnel and collect the filtrate under the funnel in a beaker or conical flask.
4. Weigh the evaporating basin.
5. Pour the filtrate into an evaporating basin and heat gently until salt crystals form.
6. Weigh the salt and evaporating basin.
7. Use the value to determine the mass of salt in 5 g of rock salt mixture.
8. Investigate the other rock salt mixtures.</t>
  </si>
  <si>
    <t>Separating Techniques – Distillation</t>
  </si>
  <si>
    <t>1.10 describe these experimental techniques for the separation of mixtures:
• simple distillation 
• fractional distillation</t>
  </si>
  <si>
    <t>Pages 18–19</t>
  </si>
  <si>
    <t>Demo of simple distillation set up and fractional distillation set up</t>
  </si>
  <si>
    <t>• Wear eye protection.
• Be mindful of the risk of scalding from hot steam. You may decide to use anti-bumping granules to help the liquid boil more smoothly and reduce the risk of boiling over. Remind students not to handle hot equipment – they should allow any apparatus that was used in heating to cool before putting it away.
• Wear eye protection.
• Remind students not to handle hot equipment – they should allow any apparatus that was used in heating to cool before putting it away.
• Wear eye protection.
• Hot water and glassware can cause burns.
• Ethanol is flammable; make sure there are no naked flames in the laboratory.</t>
  </si>
  <si>
    <t>Lesson 6 — Separating Techniques – Distillation
Specification Points:
1.10 describe these experimental techniques for the separation of mixtures:
• simple distillation 
• fractional distillation
Pages 18–19
Requisitions:
Demo of simple distillation set up and fractional distillation set up
Notes:
Put food colouring into the simple distillation set up to show that only water comes out of the distillation
Wear eye protection.
Be mindful of the risk of scalding from hot steam. You may decide to use anti-bumping granules to help the liquid boil more smoothly and reduce the risk</t>
  </si>
  <si>
    <t>• describe the process of simple distillation
• describe the process of fractional distillation
• evaluate the use of simple and fractional distillation as separating techniques.</t>
  </si>
  <si>
    <t>• fractional distillation: a process to separate two liquids with different boiling points, for example ethanol and water or the components of crude oil
• fractionating column: a piece of equipment used for separating vapours in fractional distillation
• Liebig condenser: a piece of glassware which has cold water running through the outside sleeve, which causes the vapour within the condenser to turn back into a liquid
• simple distillation: a process used to separate two liquids of different boiling points, or to separate the solvent and solid solute from a solution</t>
  </si>
  <si>
    <t>1. Set up your apparatus as shown in the diagram.
2. Adjust the Bunsen burner so that you have a gentle blue flame. The air hole should be about half open and the gas tap should be about half on.
3. Add a spatula of anti-bumping granules to help the liquid boil more smoothly and reduce the risk of boiling over.
4. Heat the ink until it boils.
5. Collect the distillate in the test tube.
6. Read the temperature on the thermometer and note the temperature of the vapour.
• Take a tube of ethanol and add some pure water to it. Use 5 cm³ of each. Show that the ethanol and water mix to form a solution.
• Explain to students: Liquids with lower boiling points evaporate more easily and will turn into a vapour first. As the original mixture will be split into several parts, or fractions, the process is given the name ‘fractional distillation’. The first fraction to be collected contains the liquid with the lowest boiling point. The fractions could be pure liquids or may still be mixtures.
• Demonstrate the fractional distillation process using a Liebig condenser and the ethanol/water mixture.
• The success of this distillation process can be determined by the smell of the product, the boiling point of the vapour and the flammability of the product.
• Take 10–20 drops of the distillate and allow the drops to soak into ceramic wool. Put this on a gauze or tin lid and see if the liquid ignites when you bring a lighted splint to it. Ethanol burns with a clean, blue, non-luminous flame – so this may not be obvious.
• Put a beaker of water on a tripod and gauze and bring it to boiling point.
• Measure the temperature of the boiling water and show that it is at, or about, 10⁰ °C.
• Turn off the Bunsen burner and support a boiling tube containing a 2–3 cm depth of ethanol in the boiling water.
• After a few minutes, the ethanol should start boiling. Explain that different liquids have different boiling points and that ethanol boils at a lower temperature than water.
• Measure the</t>
  </si>
  <si>
    <t>Chromatography</t>
  </si>
  <si>
    <t>1.10	describe this experimental technique for the separation of mixtures: paper chromatography
1.11	understand how a chromatogram provides information about the composition of a mixture
1.12	understand how to use the calculation of Rf values to identify the components of a mixture
1.13	practical: investigate paper chromatography using inks/food colourings</t>
  </si>
  <si>
    <t>Pages 19–21
Lab Book: Pages 5–7</t>
  </si>
  <si>
    <t>Practical Name: Paper chromatography
Practical Type: Student practical
Equipment Required:
Beaker, filter paper, pencil, ruler, capillary tube/spotter
Chemicals Required:
Inks/food colourings, solvent (e.g. water, ethanol)
Safety Notes:
Eye protection; ethanol flammable</t>
  </si>
  <si>
    <t>• The solvent suggested for biro ink is flammable and harmful – ensure there are no naked flames in the lab.
• There are no safety considerations for this practical.</t>
  </si>
  <si>
    <t>Lesson 7 — Chromatography
Specification Points:
1.10	describe this experimental technique for the separation of mixtures: paper chromatography
1.11	understand how a chromatogram provides information about the composition of a mixture
1.12	understand how to use the calculation of Rf values to identify the components of a mixture
1.13	practical: investigate paper chromatography using inks/food colourings
Pages 19–21
Lab Book: Pages 5–7
Requisitions:
Practical Name: Paper chromatography
Practical Type: Student practical
Equipment Required:
Beaker, filter paper, pencil, ruler, capillary tube/spotter
Chemicals Required: 
Inks/food colourings, solvent (e.g. water, ethanol)
Safety Notes: 
Eye protection; ethanol flammable
Notes:
The solvent suggested for biro ink is flammable and harmful – ensure there are no naked flames in the lab.
Wear eye protection throughout the practical.</t>
  </si>
  <si>
    <t>• describe the technique of chromatography
• explain that a chromatogram provides information about the composition of a mixture
• calculateRfvalues
• useRfvalues to identify the components of a mixture.</t>
  </si>
  <si>
    <t>• chromatogram: the absorbent paper from paper chromatography showing the separation of different coloured substances
• paper chromatography: a process used to separate a mixture of coloured substances using absorbent paper
• retardation factor (Rf): (sometimes called the retention factor) calculated as the distance moved by a spot of dye (from the pencil line) divided by the distance moved by the solvent front (from the pencil line) on a chromatogram</t>
  </si>
  <si>
    <t>1. Check that your chromatography paper hangs close to the bottom of the empty beaker without touching it (as shown in the diagram).
2. Take the paper out of the beaker and draw a pencil line on the paper, about 2 cm from the bottom.
3. Put a small spot of ink from each pen on your pencil line.
4. Label underneath each spot with a pencil.
5. Pour some water into the beaker to a depth of about 1 cm.
6. Lower the chromatography paper into the beaker so that the bottom of the paper is in the water, but the water level is below the spots.
7. Leave the paper in the beaker until the water reaches near the top of the paper.
8. Take the paper out and immediately use a pencil to mark the location of the solvent front (the level the water has reached) before it evaporates. Leave it to dry.
1. Pre-prepare a chromatogram from a circle of filter paper by making two cuts towards the centre to make a wick.
2. Support the paper on top of a beaker of water with the wick dipping into the water and put a spot of a coloured sweet solution or a drop of coloured ink or food colouring at the centre of the paper.
3. Wait until concentric rings of colour have formed, then remove the paper and dry it (these can be run at the end of the day and left to dry in preparation for the lesson).
4. Show the chromatogram to students and ask them for key words to help to describe how this has been created.
5. Write the key words on the board and then challenge students to produce sentences that explain what happened. Key word examples include chromatogram, dissolve, ink, soluble and solvent.
6. You can either provide your own summary of how the chromatogram was made using the points of this method or ask students to keep their initial efforts and add to them or amend them at the end of the lesson.</t>
  </si>
  <si>
    <t>Atomic Structure</t>
  </si>
  <si>
    <t>1.14	know what is meant by the terms: atom and molecule
1.15	know the structure of an atom in terms of the positions, relative masses, and relative charges of sub-atomic particles
1.16	know what is meant by the terms atomic number, mass number, and relative atomic mass (Ar)</t>
  </si>
  <si>
    <t>Pages 24–26</t>
  </si>
  <si>
    <t>Practical Name: No practical work
Practical Type: N/A
Equipment Required:
N/A
Chemicals Required:
N/A
Safety Notes:
N/A</t>
  </si>
  <si>
    <t>Lesson 8 — Atomic Structure
Specification Points:
1.14	know what is meant by the terms: atom and molecule
1.15	know the structure of an atom in terms of the positions, relative masses, and relative charges of sub-atomic particles
1.16	know what is meant by the terms atomic number, mass number, and relative atomic mass (Ar)
Pages 24–26
Requisitions:
Practical Name: No practical work
Practical Type: N/A
Equipment Required:
N/A
Chemicals Required: 
N/A
Safety Notes: 
N/A</t>
  </si>
  <si>
    <t>• define the terms atom and molecule
• describe the structure of an atom
• know the relative mass and charge of each sub-atomic particle
• state what the terms atomic number and mass number mean
• use atomic number and mass number to calculate the number of each sub-atomic particle.</t>
  </si>
  <si>
    <t>• atomic number: the number of protons in the nucleus of an atom
• electron: a sub-atomic particle found in shells (energy levels) outside the nucleus of an atom; it has a relative mass of 1/1836 and a relative charge of &amp;ndash;1; for a neutral atom, the number of electrons equals the number of protons and therefore is the same as the atomic number
• mass number: the total number of protons and neutrons in the nucleus of an atom
• molecule: two or more atoms covalently bonded together; molecules contain a certain fixed number of atoms
• neutron: a sub-atomic particle found in the nucleus of an atom; it has a relative mass of 1 and no charge; the number of neutrons in an atom is equal to the difference between the mass number and the atomic number
• nucleon number: an alternative name for the mass number
• proton: a sub-atomic particle found in the nucleus of an atom; it has a relative mass of 1 and a relative charge of +1; the number of protons in an atom is the same as the atomic number
• proton number: an alternative name for the atomic number
• sub-atomic particles: particles that are smaller than an atom.</t>
  </si>
  <si>
    <t>Isotopes and Relative Atomic Mass</t>
  </si>
  <si>
    <t>1.16	know what is meant by the terms atomic number, mass number, and relative atomic mass (Ar)
1.17	be able to calculate the relative atomic mass of an element (Ar) from isotopic abundances</t>
  </si>
  <si>
    <t>Pages 26–27</t>
  </si>
  <si>
    <t>Lesson 9 — Isotopes and Relative Atomic Mass
Specification Points:
1.16	know what is meant by the terms atomic number, mass number, and relative atomic mass (Ar)
1.17	be able to calculate the relative atomic mass of an element (Ar) from isotopic abundances
Pages 26–27
Requisitions:
Practical Name: No practical work
Practical Type: N/A
Equipment Required:
N/A
Chemicals Required: 
N/A
Safety Notes: 
N/A</t>
  </si>
  <si>
    <t>• define the term isotope
• explain that the presence of isotopes leads to atoms of the same element having different mass numbers
• calculate the relative atomic mass for an element from isotopic abundances.</t>
  </si>
  <si>
    <t>• isotopes: different atoms of the same element, with the same number of protons but a different number of neutrons; isotopes of the same element have the same chemical properties
• relative atomic mass: the weighted average mass of the isotopes of an element, relative to the mass of 1 12 of a 12C atom</t>
  </si>
  <si>
    <t xml:space="preserve">The Periodic Table </t>
  </si>
  <si>
    <t>1.18 understand how elements are arranged in the Periodic Table: 
• in order of atomic number
• in groups and periods.
1.19 understand how to deduce the electronic configurations of the first 20 elements from their positions in the Periodic Table</t>
  </si>
  <si>
    <t>Pages 30–34</t>
  </si>
  <si>
    <t>Practical Name: No practical work
Practical Type: N/A
Equipment Required:
N/A
Chemicals Required:
N/A
Safety Notes:
N/A
Equipment (from lesson resources):
eye protection
calcium granules
magnesium ribbon
aluminium foil
sulfur powder
0.4 mol/dm³ hydrochloric acid
test tubes
test-tube rack
test-tube holder
Bunsen burner
splints
0.1 mol/dm³ sodium hydroxide
0.1 mol/dm³ sulfuric acid
Universal indicator solution</t>
  </si>
  <si>
    <t>Wear eye protection. Use no more than three small calcium granules.</t>
  </si>
  <si>
    <t>Lesson 10 — The Periodic Table
Specification Points:
1.18 understand how elements are arranged in the Periodic Table: 
• in order of atomic number
• in groups and periods.
1.19 understand how to deduce the electronic configurations of the first 20 elements from their positions in the Periodic Table
Pages 30–34
Requisitions:
Practical Name: No practical work
Practical Type: N/A
Equipment Required:
N/A
Chemicals Required: 
N/A
Safety Notes: 
N/A
Equipment (from lesson resources):
eye protection
calcium granules
magnesium ribbon
aluminium foil
sulfur powder
0.4 mol/dm³ hydrochloric acid
test tubes
test-tube rack
test-tube holder
Bunsen burner
splints
0.1 mol/dm³ sodium hydroxide
0.1 mol/dm³ sulfuric acid
Universal indicator solution
Notes:
Wear eye protection. Use no more than three small calcium granules.</t>
  </si>
  <si>
    <t>• describe how elements are arranged in the Periodic Table in order of atomic number
• describe how elements are arranged in the Periodic Table in groups and periods
• deduce the electronic configuration of the first 20 elements in the Periodic Table.</t>
  </si>
  <si>
    <t>• electronic configuration: how electrons are arranged in the shells (energy levels) in an atom
• energy levels or shells: where electrons are found in an atom; each shell can only hold a certain number of electrons
• group: a vertical column in the Periodic Table; all elements in the same group have the same number of outer shell electrons
• period: a horizontal row in the Periodic Table; all elements in the same period have the same number of occupied shells
• Periodic Table: a table in which elements are arranged in order of increasing atomic number and in terms of chemical and physical properties</t>
  </si>
  <si>
    <t>• Add half a spatula of calcium, magnesium, aluminium and sulfur to a test tube quarter-filled with dilute hydrochloric acid (each test tube should contain only one of the elements).
• Warm gently if there is no reaction or a slow reaction. Warming can be done by wafting the test tube in and out of a Bunsen flame. The tube should not get too hot to handle.
• Test any evolved gas with a lighted splint. Place a lighted splint into the neck of the test tube. If the gas causes a squeaky pop to be heard then the gas produced is hydrogen.</t>
  </si>
  <si>
    <t>Using Electronic Configurations</t>
  </si>
  <si>
    <t>1.22 understand how the electronic configuration of a main group element is related to its position in the Periodic Table
1.23 understand why elements in the same group of the Periodic Table have similar chemical properties
1.24 understand why the noble gases (Group 0) do not readily react</t>
  </si>
  <si>
    <t>Pages 33–35</t>
  </si>
  <si>
    <t>Lesson 11 — Using Electronic Configurations
Specification Points:
1.22 understand how the electronic configuration of a main group element is related to its position in the Periodic Table
1.23 understand why elements in the same group of the Periodic Table have similar chemical properties
1.24 understand why the noble gases (Group 0) do not readily react
Pages 33–35
Requisitions:
Practical Name: No practical work
Practical Type: N/A
Equipment Required:
N/A
Chemicals Required: 
N/A
Safety Notes: 
N/A</t>
  </si>
  <si>
    <t>• describe how the electronic configuration of an element is related to its position in the Periodic Table
• explain why elements in the same group of the Periodic Table have similar chemical properties
• explain why noble gases do not readily react.</t>
  </si>
  <si>
    <t>• noble gases: non-metallic gases from Group 0 including helium, neon, argon, krypton, xenon, and radon</t>
  </si>
  <si>
    <t>Metals and Non-metals</t>
  </si>
  <si>
    <t>1.20 understand how to use electrical conductivity and the acid-base character of oxides to classify elements as metals or non-metals
1.21 identify an element as a metal or a non-metal according to its position in the Periodic Table</t>
  </si>
  <si>
    <t>Pages 35–36</t>
  </si>
  <si>
    <t>Class prac
universal indicator with dropper or pipette, pH chart, various hydroxide, acid solutions to stand in for soluble oxides:, 0.2 M sodium hydroxide (labelled sodium oxide and water), 0.2 M potassium hydroxide (labelled potassium oxide and water), limewater (labelled calcium oxide and water), sulfuric acid (labelled sulfur dioxide and water), 0.2 M nitric acid (labelled nitrogen oxide and water), 0.2 M phosphoric acid (labelled phosphorous(V) oxide and water)
Demo 1 Please set up
A variety of metallic and non-metallic elements labelled with their names and whether they are metals or non-metals. Try to use actual elements which are available to you. Images can be used but they are not as good as the real thing. Copper [M], magnesium [M], zinc [M], iron [M], oxygen [N-M], sulfur [N-M], iodine [N-M], carbon (graphite) [N-M.
Demo 2 please set up
simple circuit, a cell, a lamp, connecting wires, crocodile clips
Demo 3 Please set up
copper sheets and wire, aluminium rods and sheet, iron nails and sheet, steel spring, rods of lead, lead sheet, plastic rods, wooden splints, electrical circuit with bulb, beaker of hot water, anvil, heavy hammer, thermometer/temperature sensor (capable of being attached to rods), cotton</t>
  </si>
  <si>
    <t>• There are no safety considerations for this practical.
• Wear eye protection: 0.2M nitric acid, 0.2M potassium hydroxide and 0.2M sodium hydroxide are irritants.
• When stretching wires, wear eye protection.
• When using the hammer to beat the lead rod, wear eye protection and use a safety screen.
• Have some cushioning material positioned below the slotted masses and wire to avoid the masses landing on the floor or bouncing off the table.</t>
  </si>
  <si>
    <t>Lesson 12 — Metals and Non-metals
Specification Points:
1.20 understand how to use electrical conductivity and the acid-base character of oxides to classify elements as metals or non-metals
1.21 identify an element as a metal or a non-metal according to its position in the Periodic Table
Pages 35–36
Requisitions:
Class prac
universal indicator with dropper or pipette, pH chart, various hydroxide, acid solutions to stand in for soluble oxides:, 0.2 M sodium hydroxide (labelled sodium oxide and water), 0.2 M potassium hydroxide (labelled potassium oxide and water), limewater (labelled calcium oxide and water), sulfuric acid (labelled sulfur dioxide and water), 0.2 M nitric acid (labelled nitrogen oxide and water), 0.2 M phosphoric acid (labelled phosphorous(V) oxide and water)
Demo 1 Please set up
A variety of metallic and non-metallic elements labelled with their names and whether they are metals or non-metals. Try to use actual elements which are available to you. Images can be used but they are not as good as the real thing. Copper [M], magnesium [M], zinc [M], iron [M], oxygen [N-M], sulfur [N-M], iodine [N-M], carbon (graphite) [N-M.
Demo 2 please set up 
simple circuit, a cell, a lamp, connecting wires, crocodile clips
Demo 3 Please set up
copper sheets and wire, aluminium rods and sheet, iron nails and sheet, steel spring, rods of lead, lead sheet, plastic rods, wooden splints, electrical circuit with bulb, beaker of hot water, anvil, heavy hammer, thermometer/temperature sensor (capable of being attached to rods), cotton
Notes:
Take care with hot apparatus. Do not touch hot equipment directly. Use tongs or heat-proof mats.
Wear eye protection. Handle acids and alkalis with care; wash any splashes off skin immediately.
Take care with staining solutions; they can stain skin and clothing. Wash off splashes immediately.
Take care with electrical equipment. Do not connect circuits to mains. Switch off power before changing connections.
Do not look directly at burning magnesium — the bright light can damage eyes. Wear eye protection.</t>
  </si>
  <si>
    <t>• identify an element as a metal or a non-metal depending on its position in the Periodic Table
• describe how to use electrical conductivity to classify an element as a metal or non-metal
• describe how to use the acid&amp;ndash;base character of oxides to classify an element as a metal or a non-metal.</t>
  </si>
  <si>
    <t>• ductile: a property of metal that allows it to be drawn out into wires
• malleable: a property of metal that allows it to be hammered into different shapes</t>
  </si>
  <si>
    <t>2. Allow students 5 minutes to work in groups of two or three to examine the elements. Students should state the properties or characteristics which they think are similar between the metallic elements/non-metallic elements.
1. Set up a series circuit with a gap. Show the Image: Series circuit .
2. Check that the lamp lights when the crocodile clips are touched together.
3. Place the substance to be tested between the crocodile clips, if the lamp lights, then the substance is likely to be a metal.
4. Test the substances from the starter (e.g., copper [M], magnesium [M], zinc [M], iron [M], oxygen [N-M], sulfur [N-M], iodine [N-M], carbon (graphite) [N-M.])
5. Ask students: How could we test oxygen/nitrogen/carbon dioxide? (Answer: Leave a gap between the crocodile clips to test the air which is a mixture of gases.)
1. Fill a test tube to a depth of 2 cm with a sample an ‘oxide and water’ solution.
2. Add 2–3 drops of universal indicator solution.
3. Swirl the tube gently to make sure the indicator mixes in.
4. Record the colour change in a results table.
5. Match the colour against the pH chart and use this to determine whether the solution is acidic (pH 1 to pH 6 ), basic (pH 8 to pH 14) or even neutral (pH 7).
1. Demonstrate the properties of the different materials as follows.</t>
  </si>
  <si>
    <t>The temperature at which a liquid becomes a gas.
The temperature at which a gas becomes a liquid.
The temperature at which a solid becomes a liquid.
The temperature at which a liquid becomes a solid (also called the freezing point).
At all temperatures along this section of the graph, the substance is solid.
At all temperatures along this section of the graph, the substance is liquid.
The particles in the gas cool and move more slowly until the forces of attraction hold the particles together.
At all temperatures along this section of the graph, the substance is gas.
Changing states, heating and cooling curvesAnswerevaporationand boilingAnswercondensingAnswerdepositionAnswerfreezingAnswersublimationAnswermelting</t>
  </si>
  <si>
    <t>Ions</t>
  </si>
  <si>
    <t xml:space="preserve">1.37 Understand how ions are formed by electron loss or gain.
1.38 Know the charges of these ions:
Metals in Groups 1, 2 and 3
Non-metals in Groups 5, 6 and 7
Ag⁺, Cu²⁺, Fe²⁺, Fe³⁺, Pb²⁺, Zn²⁺
</t>
  </si>
  <si>
    <t>Pages 75–78</t>
  </si>
  <si>
    <t>Lesson 15 — Ions
Specification Points:
1.37 Understand how ions are formed by electron loss or gain.
1.38 Know the charges of these ions:
Metals in Groups 1, 2 and 3
Non-metals in Groups 5, 6 and 7
Ag⁺, Cu²⁺, Fe²⁺, Fe³⁺, Pb²⁺, Zn²⁺
Pages 75–78
Requisitions:
Practical Name: No practical work
Practical Type: N/A
Equipment Required:
N/A
Chemicals Required: 
N/A
Safety Notes: 
N/A</t>
  </si>
  <si>
    <t>• define the term ion
• explain how positive ions (cations) are formed by the loss of electrons
• explain how negative ions (anions) are formed by the gain of electrons
• predict the charges of ions formed by metals in Groups 1, 2 and 3
• predict the charges of ions formed by non-metals in Groups 5, 6 and 7
• recall the charges and formulae of these ions: Ag⁺, Cu²⁺, Fe²⁺, Fe³⁺, Pb²⁺, Zn²⁺</t>
  </si>
  <si>
    <t>• ion: an atom or group of atoms that has gained or lost electrons, giving it a positive or negative charge
• cation: a positively charged ion formed by the loss of electrons
• anion: a negatively charged ion formed by the gain of electrons
• electron loss: the process by which a metal atom becomes a positively charged ion
• electron gain: the process by which a non-metal atom becomes a negatively charged ion</t>
  </si>
  <si>
    <t>Ionic Bonds</t>
  </si>
  <si>
    <t>1.39 Write formulae for compounds formed between the following ions:
Metals in Groups 1, 2 and 3
Non-metals in Groups 5, 6 and 7
Ag⁺, Cu²⁺, Fe²⁺, Fe³⁺, Pb²⁺, Zn²⁺
Hydrogen (H⁺), hydroxide (OH⁻), ammonium (NH₄⁺), carbonate (CO₃²⁻), nitrate (NO₃⁻), sulfate (SO₄²⁻)
1.40 Draw dot-and-cross diagrams to show the formation of ionic compounds by electron transfer, limited to combinations of elements from Groups 1, 2, 3 and 5, 6, 7. Only outer electrons need be shown.
1.41 Understand ionic bonding in terms of electrostatic attractions.</t>
  </si>
  <si>
    <t>Practical Name: Burning magnesium oxide (optional demo)
Practical Type: Demonstration
Equipment Required:
Bunsen burner, welding filter, spoon, gas jar, water, blue glass viewer
Chemicals Required:
Magnesium, dry oxygen
Safety Notes:
Eye protection; welding filter; don't look directly</t>
  </si>
  <si>
    <t>Take care with hot apparatus. Do not touch hot equipment directly. Use tongs or heat-proof mats.
Wear eye protection throughout the practical.
Do not look directly at burning magnesium — the bright light can damage eyes. Wear eye protection.</t>
  </si>
  <si>
    <t>Lesson 16 — Ionic Bonds
Specification Points:
1.39 Write formulae for compounds formed between the following ions:
Metals in Groups 1, 2 and 3
Non-metals in Groups 5, 6 and 7
Ag⁺, Cu²⁺, Fe²⁺, Fe³⁺, Pb²⁺, Zn²⁺
Hydrogen (H⁺), hydroxide (OH⁻), ammonium (NH₄⁺), carbonate (CO₃²⁻), nitrate (NO₃⁻), sulfate (SO₄²⁻)
1.40 Draw dot-and-cross diagrams to show the formation of ionic compounds by electron transfer, limited to combinations of elements from Groups 1, 2, 3 and 5, 6, 7. Only outer electrons need be shown.
1.41 Understand ionic bonding in terms of electrostatic attractions.
Pages 75–78
Requisitions:
Practical Name: Burning magnesium oxide (optional demo)
Practical Type: Demonstration
Equipment Required:
Bunsen burner, welding filter, spoon, gas jar, water, blue glass viewer
Chemicals Required: 
Magnesium, dry oxygen
Safety Notes: 
Eye protection; welding filter; don't look directly
Notes:
Take care with hot apparatus. Do not touch hot equipment directly. Use tongs or heat-proof mats.
Wear eye protection throughout the practical.
Do not look directly at burning magnesium — the bright light can damage eyes. Wear eye protection.</t>
  </si>
  <si>
    <t>• In this lesson, students will learn to: write formulae for compounds made from:
• ions in Groups 1&amp;ndash;3 and 5&amp;ndash;7
• Ag+, Cu2+, Fe2+, Fe3+, Pb2+&amp;nbsp;and Zn2+
• H+, OH-, NH4+, CO32-, NO3-&amp;nbsp;and SO42-
• draw dot-and-cross diagrams for ionic compounds made from elements in Groups 1–3 and Groups 5–6
• describe an ionic bond as an electrostatic force of attraction between oppositely charged ions.</t>
  </si>
  <si>
    <t>• electrostatic force: the force of attraction between a positive charge and a negative charge
• ionic bond: strong electrostatic force of attraction between oppositely charged ions, formed by the transfer of electrons from one atom to another
• isoelectronic: having the same number of electrons</t>
  </si>
  <si>
    <t xml:space="preserve">Properties of Ionic Lattices </t>
  </si>
  <si>
    <t>1.42 understand why compounds with giant ionic lattices have high melting and boiling points
1.43 know that ionic compounds do not conduct electricity when solid, but do conduct electricity when molten and in aqueous solution</t>
  </si>
  <si>
    <t>Pages 81–83</t>
  </si>
  <si>
    <t>Practical Name: Building ionic structures; Identifying ionic compounds
Practical Type: Student practical
Equipment Required:
Polystyrene balls, cocktail sticks; Boiling tube, beaker, DC supply, electrodes, lamp, leads, spatula
Chemicals Required:
None; CuSO₄, ethanol, KI, NaCl, sugar, water
Safety Notes:
None; Eye protection; no flames (ethanol); ventilated; brief power</t>
  </si>
  <si>
    <t>• There are no safety considerations for this practical.
• Group students into small groups and ask each group to follow the instructions on Worksheet 1: Practical method 1 and use the information about ionic bonds, ion size and electrostatic forces to make and evaluate a model of the ion structure in sodium chloride. When evaluating their models, students should note good and bad points.
• Eye protection should be worn.
• There should be no naked flames in the laboratory as ethanol is highly flammable.
• Ensure that the laboratory is well ventilated.
• Take particular care with any students who have asthma, as chlorine is produced from sodium chloride.
• Eye protection should be worn.
• Ensure that the laboratory is well ventilated.
• Take particular care with any students who have asthma, as chlorine is produced from sodium chloride.</t>
  </si>
  <si>
    <t>Lesson 17 — Properties of Ionic Lattices
Specification Points:
1.42 understand why compounds with giant ionic lattices have high melting and boiling points
1.43 know that ionic compounds do not conduct electricity when solid, but do conduct electricity when molten and in aqueous solution
Pages 81–83
Requisitions:
Practical Name: Building ionic structures; Identifying ionic compounds
Practical Type: Student practical
Equipment Required:
Polystyrene balls, cocktail sticks; Boiling tube, beaker, DC supply, electrodes, lamp, leads, spatula
Chemicals Required: 
None; CuSO₄, ethanol, KI, NaCl, sugar, water
Safety Notes: 
None; Eye protection; no flames (ethanol); ventilated; brief power
Notes:
Take care with hot apparatus. Do not touch hot equipment directly. Use tongs or heat-proof mats.
Wear eye protection throughout the practical.
Ethanol/spirit is flammable. Keep away from naked flames and sources of ignition.
Carry out this work in a fume cupboard or well-ventilated area.
Handle glassware carefully. Report any breakages to the teacher immediately.</t>
  </si>
  <si>
    <t>• describe the structure of a giant ionic lattice
• evaluate the use of models for ionic lattices
• explain why ionic lattices are brittle
• explain why ionic lattices have high melting and boiling points
• explain why ionic compounds can conduct electricity when molten or in solution, but not when solid.</t>
  </si>
  <si>
    <t>• giant: a structure in which there are no individual molecules or particles (ions/atoms) because the bonding extends in all directions with no limit to the number of particles present
• giant ionic lattice: the arrangement of ions in an ionic compound in its solid state
• lattice: a regular arrangement of particles
• molten: the liquid state formed when a solid has melted</t>
  </si>
  <si>
    <t>1. Carefully read the information on sodium chloride structure (see Worksheet 1: Practical method 1 ).
2. Take one of the sodium ions and join it to two chloride ions to form a straight line.
3. Join two more chloride ions to the sodium ion so they form a cross.
4. Join two more chloride ions at the front and back of the sodium ion so that all angles are 90°.
5. Continue to join ions to each other to form a cubic structure.
1. Connect the circuit as shown in the Image: Electrical circuit . Identify which rod is the positive electrode and which is the negative electrode. Test your circuit by briefly touching the electrodes together and the lamp should light. Run the circuit for only a brief period. Image: Electrical circuit
2. Add distilled or deionised water to the beaker so that the electrodes are partly submerged.
3. Observe and record whether or not the lamp lights and record any changes at each electrode. Empty the beaker.
4. Choose one of the other test substances. Add one small spatula of solid or one pipette of ethanol to a boiling tube. Add water until the tube is about half full. Stopper the boiling tube and, with your thumb over the bung, shake the boiling tube. Observe and record whether the substance dissolves or not.
5. If the substance dissolves, pour the solution into the beaker and add more water, if needed, so that the beaker is about one-third full.
6. Observe and record whether or not the lamp lights. Empty the beaker as instructed by your teacher and rinse it with water.
7. Repeat steps 4, 5 and 6 with the remaining substances.
1. Connect the circuit as shown in the Image: Electrical circuit . Image: Electrical circuit
2. Identify which rod is the positive electrode and which is the negative electrode. Test your circuit by briefly touching the electrodes together and the lamp should light. Only run the circuit for a brief period.
3. Add distilled or deionised water to the beaker so that the electrodes are partly submerged.
4. Observe and record</t>
  </si>
  <si>
    <t xml:space="preserve">Reactions of Group 1 Metals </t>
  </si>
  <si>
    <t>2.1 understand how the similarities in the reactions of these elements with water provide evidence for their recognition as a family of elements
2.2 understand how the differences between the reactions of these elements with air and water provide evidence for the trend in reactivity in Group 1</t>
  </si>
  <si>
    <t>Pages 122–126</t>
  </si>
  <si>
    <t>Practical Name: Properties of Group 1 metals
Practical Type: Demonstration
Equipment Required:
Li, Na, K pieces; electrical demo; deflagrating spoon; Bunsen; scalpel; tile; trough; universal indicator
Chemicals Required:
Li, Na, K, universal indicator
Safety Notes:
Eye protection; safety screen; small pieces; tweezers</t>
  </si>
  <si>
    <t>• Wear eye protection and stand behind a safety screen during the demonstration. Ensure that students wear eye protection and remain at least 1 metre away from the screen.
• Only use small amounts of alkali metals at a time (about half the size of a pea). You should practise using the alkali metals prior to the lesson. Do not be tempted by the exuberance of the students to use larger pieces.
• All the demonstrations should be practised prior to being carried out in front of students. As students only need to see the results of the experiments and do not carry them out, video material is an acceptable alternative.</t>
  </si>
  <si>
    <t>Lesson 18 — Reactions of Group 1 Metals
Specification Points:
2.1 understand how the similarities in the reactions of these elements with water provide evidence for their recognition as a family of elements
2.2 understand how the differences between the reactions of these elements with air and water provide evidence for the trend in reactivity in Group 1
Pages 122–126
Requisitions:
Practical Name: Properties of Group 1 metals
Practical Type: Demonstration
Equipment Required:
Li, Na, K pieces; electrical demo; deflagrating spoon; Bunsen; scalpel; tile; trough; universal indicator
Chemicals Required: 
Li, Na, K, universal indicator
Safety Notes: 
Eye protection; safety screen; small pieces; tweezers
Notes:
Combine with lesson 19
Wear eye protection and stand behind a safety screen during the demonstration. Ensure that students wear eye protection and remain at least 1 metre away from the screen.
Take care with hot apparatus. Do not touch hot equipment directly. Use tongs or heat-proof mats.
Take care with sharp instruments. Cut away from the body. Follow dissection safety guidelines.</t>
  </si>
  <si>
    <t>• compare the appearance and density of Group 1 metals with common transition metals such as iron and copper
• describe the reactions of Group 1 metals with water
• write equations for the reactions of Group 1 metals with water
• explain how similarities in the reactions of these elements with water provide evidence for their recognition as a family of elements
• explain how the differences between the reactions of these elements with water provide evidence for the trend in reactivity of Group 1.</t>
  </si>
  <si>
    <t>• alkali metals: the elements of Group 1
• reactivity: how readily a substance reacts with other chemicals to form new compounds
• tarnish: to become dull and lose colour</t>
  </si>
  <si>
    <t>• Good conductors of electricity: Use a low-voltage (1.5 V) power source, bulb (1.5 V) and metal probes. This is a similar set-up to the identifying ionic compounds from Lesson 17 . A simple circuit is set up with a gap between the two metal probes. The alkali metal can be placed between the two probes to ensure a complete circuit. If the test produces a negative result at first, wipe off any excess oil from the metal.
• Have low melting points and boiling points: Either use databook data or Slide 2 of the Slideshow: Group 1 metals .
• React with oxygen: This can be observed when cut alkali metal surfaces quickly dull as they react with the oxygen in the air. It can also be seen when samples glow brightly when burned, on deflagrating spoons, in gas jars of oxygen. Obtain a gas jar full of oxygen. Use a piece of each metal that is only about half the size. Place the metal onto the deflagrating spoon and heat in a blue Bunsen flame. Once lit, quickly place into the gas jar of oxygen. The lid of the oxygen jar will need to be removed quickly, just prior to adding the burning metal – this either needs additional help or practice to get it right.
• Are soft solids: Cut the metals with a knife on a white tile.
• Are shiny and metallic: This links with the previous activity, simply cut the metals with a knife on a white tile.
• Have low density: This links with the next demonstration, as the metals being shown to students will indeed float on the surface of water.
• React with water producing an alkaline solution and hydrogen gas: The reactions with water can be carried out in a glass trough half filled with water behind a safety screen. Obtain a small piece of lithium metal (about the size of a grain of rice). Wipe off any excess oil. Using tweezers, drop the piece of lithium into the water. Once the experiment has concluded (i.e. no more fizzing can be seen), the remaining solution can be tested with universal indicator to show that it is now alkaline (the solution shoul</t>
  </si>
  <si>
    <t>Reactivity Trend of the Group 1 Metals</t>
  </si>
  <si>
    <t>2.2 understand how the differences between the reactions of these elements with air and water provide evidence for the trend in reactivity in Group 1
2.3 use knowledge of trends in Group 1 to predict the properties of other alkali metals
2.4C explain the trend in reactivity in Group 1 in terms of electronic configurations</t>
  </si>
  <si>
    <t>Pages 122–129</t>
  </si>
  <si>
    <t>Lesson 19 — Reactivity Trend of the Group 1 Metals
Specification Points:
2.2 understand how the differences between the reactions of these elements with air and water provide evidence for the trend in reactivity in Group 1
2.3 use knowledge of trends in Group 1 to predict the properties of other alkali metals
2.4C explain the trend in reactivity in Group 1 in terms of electronic configurations
Pages 122–129
Requisitions:
Practical Name: No practical work
Practical Type: N/A
Equipment Required:
N/A
Chemicals Required: 
N/A
Safety Notes: 
N/A</t>
  </si>
  <si>
    <t>• understand how the differences between the reactions of these elements with air and water provide evidence for the trend in reactivity of Group 1 elements
• explain the trend in reactivity in Group 1 in terms of electronic configurations
• use knowledge of the trends in Group 1 to predict the properties of other alkali metals.</t>
  </si>
  <si>
    <t>• alkali metals: the elements of Group 1
• reactivity: how readily a substance reacts with other chemicals to form new compounds</t>
  </si>
  <si>
    <t xml:space="preserve">Properties of the Halogens </t>
  </si>
  <si>
    <t>2.5 know the colours, physical states (at room temperature) and trends in physical properties of these elements
2.6 use knowledge of trends in Group 7 to predict the properties of other halogens</t>
  </si>
  <si>
    <t>Pages 130–131</t>
  </si>
  <si>
    <t>Practical Name: Practical properties of halogens
Practical Type: Student practical
Equipment Required:
Sealed samples of Cl₂, Br₂, I₂; test tube &amp; bung; blue litmus paper
Chemicals Required:
Chlorine water
Safety Notes:
Eye protection; well-ventilated; smell carefully; Cl₂ in fume cupboard</t>
  </si>
  <si>
    <t>• Wear eye protection at all times.
• Ensure that the lab is very well ventilated.
• Chlorine must be stored in a fume cupboard.
• Smell chlorine very carefully.</t>
  </si>
  <si>
    <t>Lesson 20 — Properties of the Halogens
Specification Points:
2.5 know the colours, physical states (at room temperature) and trends in physical properties of these elements
2.6 use knowledge of trends in Group 7 to predict the properties of other halogens
Pages 130–131
Requisitions:
Practical Name: Practical properties of halogens
Practical Type: Student practical
Equipment Required:
Sealed samples of Cl₂, Br₂, I₂; test tube &amp; bung; blue litmus paper
Chemicals Required: 
Chlorine water
Safety Notes: 
Eye protection; well-ventilated; smell carefully; Cl₂ in fume cupboard
Notes:
Use in a fume cupboard
Wear eye protection at all times.
Ensure that the lab is very well ventilated.
Chlorine must be stored in a fume cupboard.
Handle glassware carefully. Report any breakages to the teacher immediately.</t>
  </si>
  <si>
    <t>• state the colours, physical states (at room temperature) and trends in physical properties of the Group 7 elements
• predict the properties of other halogens based on their knowledge of the trends in Group 7
• describe some uses for Group 7 elements.</t>
  </si>
  <si>
    <t>• covalent bond: a strong electrostatic force of attraction between the nuclei of the atoms making up the bond and the shared pair of electrons
• diatomic molecule: a molecule that contains two atoms
• halogen: a Group 7 element, including chlorine, fluorine, bromine and iodine</t>
  </si>
  <si>
    <t>1. Look at the halogen samples and note their formulae, appearance and state.
2. Find out about the main sources and uses of the three halogens you have been given.
3. Research data on their boiling points, melting points and densities.
4. Research their atomic number, atomic size, bonding and structure.
5. Place 1 cm depth of chlorine water into a test tube and place a piece of wet blue litmus paper in the mouth of the test tube. Observe what happens.
6. Following your teacher’s instructions, carefully smell the chlorine gas in the test tube by gently fanning the vapours towards your nose. Keep the test tube at least 30 cm away from your face. Place the bung in the test tube when you have finished.</t>
  </si>
  <si>
    <t xml:space="preserve">Reactivity of the Halogens </t>
  </si>
  <si>
    <t>2.7 understand how displacement reactions involving halogens and halides provide evidence for the trend in reactivity in Group 7
2.8C explain the trend in reactivity in Group 7 in terms of electronic configurations</t>
  </si>
  <si>
    <t>Pages 132–134</t>
  </si>
  <si>
    <t>Practical Name: Displacement reactions; Extraction of chlorine demo
Practical Type: Student practical &amp; Demo
Equipment Required:
Test tubes, bungs, rack, pipettes; Hoffmann voltameter, leads, splint, litmus
Chemicals Required:
Cl₂ water, Br₂ water, I₂ water, KCl, KBr, KI; NaCl solid
Safety Notes:
Eye protection; wash splashes; ventilated; Demo in fume cupboard</t>
  </si>
  <si>
    <t>• Wear eye protection at all times.
• Take care not to inhale halogen vapours.
• Ensure that the lab is very well ventilated.
• Wear eye protection at all times.
• Carry out the demonstration in a fume cupboard.</t>
  </si>
  <si>
    <t>Lesson 21 — Reactivity of the Halogens
Specification Points:
2.7 understand how displacement reactions involving halogens and halides provide evidence for the trend in reactivity in Group 7
2.8C explain the trend in reactivity in Group 7 in terms of electronic configurations
Pages 132–134
Requisitions:
Practical Name: Displacement reactions; Extraction of chlorine demo
Practical Type: Student practical &amp; Demo
Equipment Required:
Test tubes, bungs, rack, pipettes; Hoffmann voltameter, leads, splint, litmus
Chemicals Required: 
Cl₂ water, Br₂ water, I₂ water, KCl, KBr, KI; NaCl solid
Safety Notes: 
Eye protection; wash splashes; ventilated; Demo in fume cupboard
Notes:
Wear eye protection at all times.
Carry out this work in a fume cupboard or well-ventilated area.
Handle glassware carefully. Report any breakages to the teacher immediately.</t>
  </si>
  <si>
    <t>• define the term &amp;lsquo;displacement reaction&amp;rsquo;
• describe how displacement reactions involving halogens and halides provide evidence for the trend in reactivity in Group 7
• write equations for displacement reactions involving halogens and halide ions
• explain the trend in reactivity of Group 7 in terms of electron configurations.</t>
  </si>
  <si>
    <t>• halogen: an element in Group 7 of the periodic table
• displacement reaction: a reaction in which a more reactive element takes the place of a less reactive element in a compound
• reactivity: a measure of how readily an element undergoes chemical reactions
• halide: a negative ion formed when a halogen atom gains one electron</t>
  </si>
  <si>
    <t>1. Pour a 1 cm depth of each halide solution (potassium chloride, potassium bromide and potassium iodide) into three separate test tubes.
2. Use the teat pipette to slowly add the same volume (1 cm³ ) of chlorine water to each of the halide solutions.
3. Observe carefully to see if any changes occur during mixing.
4. Repeat steps 1–3 using bromine water instead of chlorine water. Then repeat using iodine water. Remember that even if no reaction occurs, the colour of the halogen water (chlorine, bromine and iodine) will become paler, because it is being diluted.
5. Extra challenge:
6. Pour a few drops of chlorine, bromine, and iodine water into three different test tubes.
7. Add a piece of blue litmus paper to each test tube and observe what happens and how quickly it happens
1. Make up a salt solution by dissolving two or three spatulas of sodium chloride in about 200 cm³ of water.
2. Demonstrate electrolysis of the sodium chloride solution.
3. Test the gases formed to show that hydrogen is formed at the negative electrode and chlorine is formed at the positive electrode.</t>
  </si>
  <si>
    <t>Covalent Bonding</t>
  </si>
  <si>
    <t>1.44 know that a covalent bond is formed between atoms by the sharing of a pair of electrons
1.45 understand covalent bonds in terms of electrostatic attractions
1.46 understand how to use dot-and-cross diagrams to represent covalent bonds in:
• diatomic molecules, including hydrogen, oxygen, nitrogen, halogens, and hydrogen halides
• inorganic molecules including water, ammonia, and carbon dioxide
• organic molecules containing up to two carbon atoms, including methane, ethane, ethene and those containing halogen atoms.</t>
  </si>
  <si>
    <t>Pages 85–91</t>
  </si>
  <si>
    <t>Lesson 22 — Covalent Bonding
Specification Points:
1.44 know that a covalent bond is formed between atoms by the sharing of a pair of electrons
1.45 understand covalent bonds in terms of electrostatic attractions
1.46 understand how to use dot-and-cross diagrams to represent covalent bonds in:
• diatomic molecules, including hydrogen, oxygen, nitrogen, halogens, and hydrogen halides
• inorganic molecules including water, ammonia, and carbon dioxide
• organic molecules containing up to two carbon atoms, including methane, ethane, ethene and those containing halogen atoms.
Pages 85–91
Requisitions:
Practical Name: No practical work
Practical Type: N/A
Equipment Required:
N/A
Chemicals Required: 
N/A
Safety Notes: 
N/A</t>
  </si>
  <si>
    <t>• describe what a covalent bond is in terms of the sharing of electrons
• understand covalent bonds in terms of electrostatic attraction
• understand how to use dot-and-cross diagrams to represent molecules.</t>
  </si>
  <si>
    <t>• covalent bonding: strong electrostatic force of attraction between the nuclei of the atoms making up the bond and the shared pair of electrons
• diatomic molecule: a molecule that contains two atoms
• double bond: atoms sharing two pairs of electrons in a covalent bond
• molecule: two or more atoms covalently bonded together; molecules contain a certain fixed number of atoms
• octet rule: the octet rule states that atoms generally lose, gain, or share electrons to have eight electrons in their outer shell
• triple bond: atoms sharing three pairs of electrons in a covalent bond</t>
  </si>
  <si>
    <t>Simple Covalent Molecules</t>
  </si>
  <si>
    <t>1.47 explain why substances with a simple molecular structures are gases or liquids, or solids with low melting and boiling points 
the term intermolecular forces of attraction can be used to represent all forces between molecules
1.48 explain why the melting and boiling points of substances with simple molecular structures increase, in general, with increasing relative molecular mass</t>
  </si>
  <si>
    <t>Pages 92–93</t>
  </si>
  <si>
    <t>• Eye protection must be worn.
• Indirect heating of the alkanes makes it unlikely that they will ignite. However, some of the molten alkanes will be hot to the touch. Care should be taken.
• Standard procedures should be adopted when using Bunsen burners.
• Warn students about the hazard of heated water, and to take care that the water bath and tubes are stable during and after the experiment.
• Care should be taken when placing tubes into the water bath, so that students are not working directly over a lit Bunsen burner.</t>
  </si>
  <si>
    <t>Lesson 23 — Simple Covalent Molecules
Specification Points:
1.47 explain why substances with a simple molecular structures are gases or liquids, or solids with low melting and boiling points 
the term intermolecular forces of attraction can be used to represent all forces between molecules
1.48 explain why the melting and boiling points of substances with simple molecular structures increase, in general, with increasing relative molecular mass
Pages 92–93
Requisitions:
Practical Name: No practical work
Practical Type: N/A
Equipment Required:
N/A
Chemicals Required: 
N/A
Safety Notes: 
N/A
Notes:
Eye protection must be worn.</t>
  </si>
  <si>
    <t>• explain why substances with a simple molecular structure have low melting and boiling points
• explain why the melting and boiling points of simple molecular structures increase, in general, with increasing relative molecular mass
• know that covalent compounds do not usually conduct electricity.</t>
  </si>
  <si>
    <t>• intermolecular forces: forces of attraction between covalent molecules, much weaker than the covalent bonds within the molecules
• simple molecular structure: the type of structure formed when molecules are joined together by intermolecular forces</t>
  </si>
  <si>
    <t>1. Set up the apparatus as shown in the Image: Equipment set-up. Image: Equipment set-up
2. Use the test-tube holder to carefully place one tube into the water and add the thermometer/thermocouple to the water. Then start heating.
3. Watch the tube carefully. Record the temperature at which the substance in the tube melts.
4. Once the substance has melted, remove the boiling tube/test tube from the water with the test-tube holder and place the boiling tube/test tube in the rack to cool.
5. Repeat the experiment to record the melting temperature for each of the other samples. You may change the water, but do not change any of the other apparatus.
6. Repeat steps 2–5 twice more with new tubes.</t>
  </si>
  <si>
    <t>Allotropes of Carbon</t>
  </si>
  <si>
    <t>1.49 explain why substances with giant covalent structures are solids with high melting and boiling points
1.50 explain how the structures of diamond, graphite and C60 fullerene influence their physical properties, including electrical conductivity and hardness
1.51 know that covalent compounds do not usually conduct electricity</t>
  </si>
  <si>
    <t>Practical Name: Modelling structures
Practical Type: Student practical
Equipment Required:
Straws, spaghetti pieces, modelling clay/tack
Chemicals Required:
None
Safety Notes:
None (pre-cut spaghetti)</t>
  </si>
  <si>
    <t>There is no safety issue if the spaghetti is pre-cut.</t>
  </si>
  <si>
    <t>Lesson 24 — Allotropes of Carbon
Specification Points:
1.49 explain why substances with giant covalent structures are solids with high melting and boiling points
1.50 explain how the structures of diamond, graphite and C60 fullerene influence their physical properties, including electrical conductivity and hardness
1.51 know that covalent compounds do not usually conduct electricity
Pages 93–97
Requisitions:
Practical Name: Modelling structures
Practical Type: Student practical
Equipment Required:
Straws, spaghetti pieces, modelling clay/tack
Chemicals Required: 
None
Safety Notes: 
None (pre-cut spaghetti)</t>
  </si>
  <si>
    <t>• explain why substances with giant covalent structures have high melting and boiling points
• explain how the structures of diamond, graphite and C60 fullerenes influence their physical properties
• know that covalent compounds do not usually conduct electricity.</t>
  </si>
  <si>
    <t>• allotropes: different forms of the same element (for example, diamond, graphite and C60 fullerene are three allotropes of carbon)
• delocalised electrons: electrons that are no longer attached to particular atoms or pairs of atoms but are free to move through the whole structure
• fullerenes: a family of molecules made of carbon atoms joined by single and double bonds that form closed or partially closed structures</t>
  </si>
  <si>
    <t>Graphite
1. Decide on the size of the model you will make and collect the materials you will
need.
2. Line up the spaghetti on
your desk in a flat, 2D, hexagonal pattern like the bottom layer of graphite.
Use modelling clay or tack to fix the spaghetti together in a single layer.
Repeat to make the top layer.
3. Link uprights (straws) to
hold
one sheet above the other, making a 3D
structure.
4. If you have time, and
your model
will allow, add another sheet. This
represents
graphite
– see
Image:
Graphite
.
Image: Graphite
Diamond
5. Examine the tetrahedral
arrangement of carbon atoms in the diagram of diamond opposite.
6. Using equal lengths of
spaghetti,
plan out how to use the materials you have for modelling diamond.
7. Now assemble the
materials using
modelling clay or tack to join the 3D diamond structure – see
Image: Diamond
.
Image: Diamond</t>
  </si>
  <si>
    <t xml:space="preserve">Metallic Bonding </t>
  </si>
  <si>
    <t>1.52C know how to represent a metallic lattice by a 2-D diagram
1.53C understand metallic bonding in terms of electrostatic attractions
1.54C explain typical physical properties of metals, including electrical conductivity and malleability</t>
  </si>
  <si>
    <t>Pages 98–100</t>
  </si>
  <si>
    <t>Practical Name: Testing metallic/non-metallic elements; Melting points demo
Practical Type: Student practical &amp; Demo
Equipment Required:
DC supply, electrodes, lamp, leads, Bunsen, test tube, beaker, tongs; Plus powders for demo
Chemicals Required:
Cu foil, iodine, iron wire; Cu powder, sulfur, various elements
Safety Notes:
Eye protection; iodine harmful; ventilated; brief power; Demo in fume cupboard for S/I</t>
  </si>
  <si>
    <t>• Wear eye protection.
• Iodine is harmful and a danger to the environment.
• Ensure the laboratory is well ventilated.
• Only switch on the power supply for a short time.
• Wear eye protection when heating the elements.
• Heat iodine or sulfur in a fume cupboard.</t>
  </si>
  <si>
    <t>Lesson 27 — Metallic Bonding
Specification Points:
1.52C know how to represent a metallic lattice by a 2-D diagram
1.53C understand metallic bonding in terms of electrostatic attractions
1.54C explain typical physical properties of metals, including electrical conductivity and malleability
Pages 98–100
Requisitions:
Practical Name: Testing metallic/non-metallic elements; Melting points demo
Practical Type: Student practical &amp; Demo
Equipment Required:
DC supply, electrodes, lamp, leads, Bunsen, test tube, beaker, tongs; Plus powders for demo
Chemicals Required: 
Cu foil, iodine, iron wire; Cu powder, sulfur, various elements
Safety Notes: 
Eye protection; iodine harmful; ventilated; brief power; Demo in fume cupboard for S/I
Notes:
Wear eye protection.
Iodine is harmful and a danger to the environment.
Ensure the laboratory is well ventilated.
Take care with hot apparatus. Do not touch hot equipment directly. Use tongs or heat-proof mats.
Take care with staining solutions; they can stain skin and clothing. Wash off splashes immediately.
Carry out this work in a fume cupboard or well-ventilated area.
Handle glassware carefully. Report any breakages to the teacher immediately.</t>
  </si>
  <si>
    <t>• describe the particles and how they are arranged in metals
• describe the typical properties of metals
• explain the properties of metals, including malleability and the ability to conduct electricity.</t>
  </si>
  <si>
    <t>• electrical conductivity: the ability to carry an electric current
• delocalised electrons: electrons that are no longer attached to particular atoms or pairs of atoms, but are free to move throughout the whole structure
• ductility: a property of metal that allows it to be drawn out into wires
• malleability: a property of metal that allows it to be hammered into different shapes
• metallic bonding: electrostatic force of attraction between a lattice of positive ions and the sea of delocalised electrons</t>
  </si>
  <si>
    <t>1. Record the appearances of the copper and iodine.
2. Set up a circuit as shown in the image. Test your circuit by briefly touching the crocodile clips together; the lamp should light.
3. Attach the piece of copper foil to the crocodile clips. Observe and record whether the lamp lights.
4. Place a spatula of iodine in a small beaker and attach the graphite electrodes to the crocodile clips. Place the electrodes in the beaker of iodine. Make sure that the electrodes do not touch each other. Observe and record whether the lamp lights.
5. Place the Bunsen burner on a heat-resistant mat. Light the Bunsen burner and hold the piece of copper foil with a pair of tongs. Heat the copper for 1 minute. Record your observations.
6. Place a small amount (less than 0.25 g) of iodine in a test tube. Place a small plug of mineral wool in the open end of the test tube. Heat the iodine gently until you notice a change. Record your observations.
7. Record the appearance of the unknown X.
8. Test to see whether X conducts electricity.
9. Heat a small amount of X and record your observations.
1. The difference in melting points by heating one metal (e.g., copper) and one non-metal (e.g., sulfur) in separate test tubes; use powders for both, if available.
2. The difference in electrical conductivity of the same elements by placing them in turn in a simple circuit and seeing if the lamp lights.</t>
  </si>
  <si>
    <t>Core Practical – Reactivity Series</t>
  </si>
  <si>
    <t>2.17 know the order of reactivity of these metals: potassium, sodium, lithium, calcium, magnesium, aluminium, zinc, iron, copper, silver, gold   
2.15 understand how metals can be arranged in a reactivity series based on their reactions with:         
• water
• dilute hydrochloric or sulfuric acid.
2.21 practical: investigate reactions between dilute hydrochloric and sulfuric acids and metals (e.g., magnesium, zinc and iron)</t>
  </si>
  <si>
    <t>Pages 145–146 and 150–156
Lab Book: Pages 18–19</t>
  </si>
  <si>
    <t>Practical Name: Investigating acid-metal reactions; Metals and water demo
Practical Type: Student practical &amp; Demo
Equipment Required:
Beakers, test tubes, rack, splints; Trough, funnel, test tube, tile, knife, filter paper, tweezers
Chemicals Required:
Al, Ca, Cu, Fe, Mg, Zn metals; 0.4 M HCl, 0.2 M H₂SO₄; Cu, Mg, Na, K, universal indicator
Safety Notes:
Eye protection; Ca in beaker only; acids irritants; Mg flammable; Demo: eye/face protection, Na/K flammable/corrosive</t>
  </si>
  <si>
    <t>Wear eye protection.
Ethanol/spirit is flammable. Keep away from naked flames and sources of ignition.
Handle glassware carefully. Report any breakages to the teacher immediately.
with water and dilute acids
Some metals, such as copper, silver and gold, do not react with dilute acids.
Some metals, such as sodium and potassium, react violently with dilute acids.</t>
  </si>
  <si>
    <t>Lesson 28  — Core Practical – Reactivity Series
Specification Points:
2.17 know the order of reactivity of these metals: potassium, sodium, lithium, calcium, magnesium, aluminium, zinc, iron, copper, silver, gold   
2.15 understand how metals can be arranged in a reactivity series based on their reactions with:         
• water
• dilute hydrochloric or sulfuric acid.
2.21 practical: investigate reactions between dilute hydrochloric and sulfuric acids and metals (e.g., magnesium, zinc and iron)
Pages 145–146 and 150–156
Lab Book: Pages 18–19
Requisitions:
Practical Name: Investigating acid-metal reactions; Metals and water demo
Practical Type: Student practical &amp; Demo
Equipment Required:
Beakers, test tubes, rack, splints; Trough, funnel, test tube, tile, knife, filter paper, tweezers
Chemicals Required: 
Al, Ca, Cu, Fe, Mg, Zn metals; 0.4 M HCl, 0.2 M H₂SO₄; Cu, Mg, Na, K, universal indicator
Safety Notes: 
Eye protection; Ca in beaker only; acids irritants; Mg flammable; Demo: eye/face protection, Na/K flammable/corrosive
Notes:
The exact amounts of acids are not important. The acid is in excess in each experiment.
Tell students not to pour their mixtures straight into a sink as some of the solids remaining will not dissolve in water and will clog up the waste pipes. Inform them of the disposal procedure to be followed at your school.
Wear eye protection.
Ethanol/spirit is flammable. Keep away from naked flames and sources of ignition.
Handle glassware carefully. Report any breakages to the teacher immediately.</t>
  </si>
  <si>
    <t>• explain the reactivity series of metals in terms of the reactivity of the metals with water and dilute acids
• describe the reactions of common metals with water and acids
• deduce the order of metals in the reactivity series from their reactions with water and acids.</t>
  </si>
  <si>
    <t>• reactivity series: a list of metals in order of decreasing reactivity
• salt: a compound formed when hydrogen is replaced by a metal or ammonium in an acid</t>
  </si>
  <si>
    <t>Displacement Reactions Involving Metal Oxides</t>
  </si>
  <si>
    <t>2.16 understand how metals can be arranged in a reactivity series based on their displacement reactions between:
• metals and metal oxides
2.17 know the order of reactivity of these metals: potassium, sodium, lithium, calcium, magnesium, aluminium, zinc, iron, copper, silver, gold
2.20 understand the terms:
	• oxidation
	• reduction
	• redox
	• oxidising agent
	• reducing agent
in terms of gain or loss of oxygen and loss or gain of electrons.</t>
  </si>
  <si>
    <t>Pages 146–148</t>
  </si>
  <si>
    <t>Practical Name: Thermite reaction; Oxidation/reduction reactions
Practical Type: Demonstration &amp; Student practical
Equipment Required:
Goggles/face shield, screens, filter paper, tripod, beaker, sand, heat mats, magnet, Bunsen, sparkler; Bunsen, ceramic paper, spatula, tongs
Chemicals Required:
Thermite mixture (Fe₂O₃+Al); Iron wool, Cu foil, Mg ribbon, Zn powder, CuO
Safety Notes:
Demo: goggles/face shield, students ≥4m, not in fume cupboard; Student: eye protection, hot apparatus
Additional equipment (lesson resources):
goggles or face shield
laboratory coat</t>
  </si>
  <si>
    <t>• Wear goggles ( not safety spectacles) or a face shield.
• Students must wear eye protection and should stand at least 4 m away at the back of the laboratory.
• This experiment must not be performed outdoors.
• This experiment must not be performed in a fume cupboard.
• The laboratory must be well ventilated.
• Use safety screens and cover the bench top with heat-resistant mats.
• Aluminium powder is highly flammable.
• Do not use any other forms of ignition, such as potassium manganate(VII) and hot glycerol as the filter paper catches fire.
• Do not use any copper oxide, chromium(VI) oxide, lead oxide or manganese(IV) oxide.
• The procedure can be carried out safely, providing the control measures are rigorously adhered to.
• No additional igniter is needed. Light a Bunsen burner, use it to ignite the sparkler, then move behind the safety screens. Once the reaction has stopped, remove the beaker. Retrieve the iron formed with a magnet. Wash the iron under running water.
• Wear eye protection.
• Take care with the hot apparatus.
• Do not look directly at magnesium when it reacts.
• Zinc and magnesium are highly flammable.</t>
  </si>
  <si>
    <t>Lesson 29 — Displacement Reactions Involving Metal Oxides
Specification Points:
2.16 understand how metals can be arranged in a reactivity series based on their displacement reactions between:
• metals and metal oxides
2.17 know the order of reactivity of these metals: potassium, sodium, lithium, calcium, magnesium, aluminium, zinc, iron, copper, silver, gold
2.20 understand the terms:
	• oxidation
	• reduction
	• redox
	• oxidising agent
	• reducing agent
in terms of gain or loss of oxygen and loss or gain of electrons.
Pages 146–148
Requisitions:
Practical Name: Thermite reaction; Oxidation/reduction reactions
Practical Type: Demonstration &amp; Student practical
Equipment Required:
Goggles/face shield, screens, filter paper, tripod, beaker, sand, heat mats, magnet, Bunsen, sparkler; Bunsen, ceramic paper, spatula, tongs
Chemicals Required: 
Thermite mixture (Fe₂O₃+Al); Iron wool, Cu foil, Mg ribbon, Zn powder, CuO
Safety Notes: 
Demo: goggles/face shield, students ≥4m, not in fume cupboard; Student: eye protection, hot apparatus
Additional equipment (lesson resources):
goggles or face shield
laboratory coat
Notes:
Notes on equipment
Prepare the 12 g thermite mixture by adding 3 g of aluminium powder to 9 g of iron(III) oxide and repeatedly pouring from one piece of paper to another to mix it.
The sparklers must not be marked ‘For outdoor use only’. They must be for indoor purposes. Also, they do not need to be marked for hand-held use.
They should not be too short (10 cm is too short) because there is insufficient time to retreat to a safe distance. Equally, they should not be too long because they become top heavy. About 16.5 cm (6.5 inches) is suitable. This will have about 9 cm of explosive.
The handle of the sparkler can be cut off using tin snips or pliers.
Wear goggles ( not safety spectacles) or a face shield.
Students must wear eye protection and should stand at least 4 m away at the back of the laboratory.
Take care with hot apparatus. Do not touch hot equipment directly. Use tongs or heat-proof mats.
Carry out this work in a fume cupboard or well-ventilated area.</t>
  </si>
  <si>
    <t>• describe the reactions of metals with metal oxides
• explain why displacement reactions are examples of redox reactions
• deduce the order of metals in the reactivity series from the reactions between metals and metal oxides
• explain the reactivity series in terms of the tendency of different metal atoms to form cations
• state the meaning of the terms: oxidation, reduction, redox, oxidising agent and reducing agent in terms of gain or loss of oxygen and loss or gain of electrons.</t>
  </si>
  <si>
    <t>• oxidation: a reaction when a substance gains oxygen or loses electrons
• oxidising agent: a substance that oxidises another substance by giving oxygen to it or removing electrons from it
• redox reaction: a reaction when one substance is reduced (gains electrons) and another substance is oxidised (loses electrons) at the same time
• reducing agent: a substance that reduces another substance by removing oxygen from it or by giving electrons to it
• reduction: a reaction when a substance loses oxygen or gains electrons</t>
  </si>
  <si>
    <t>1. Cover a bench with heat-resistant mats.
2. Fold a single 11 cm diameter filter paper into a cone and push it into the pipeclay triangle so it is firmly held.
3. Pour sand into the 1 litre beaker until it is two-fifths full and then add water until it is four-fifths full.
4. Set up the apparatus as shown in the Image: Equipment for demonstration practical and surround it with safety screens.
5. Pour the thermite mixture into the cone. Take a domestic sparkler, about 16.5 cm long with the handle cut off. Push the sparkler straight down into the thermite mixture so it reaches the bottom of the cone; about 6 cm will be sticking up out of the mixture.
6. Light a Bunsen burner, use it to ignite the sparkler then move behind the safety screens.
7. Once the reaction has stopped, remove the beaker. Retrieve the iron formed with a magnet.
8. Wash the iron under running water.
9. Disposal:
1. Place a Bunsen burner on a heat-resistant mat and light it. Hold a piece of iron wool with tongs in the Bunsen flame. Record what happens.
2. Repeat with pieces of magnesium and copper.
3. Place a spatula of zinc powder and a spatula of copper oxide powder on a piece of ceramic paper and mix the two substances together with the spatula.
4. Place the ceramic paper on a heat-resistant mat and heat from above with a Bunsen burner. Record what happens.</t>
  </si>
  <si>
    <t>Displacement Reactions Involving Solutions of Salts</t>
  </si>
  <si>
    <t>2.16 understand how metals can be arranged in a reactivity series based on their displacement reactions between:
• metals and aqueous solutions of metal salts.
2.17 know the order of reactivity of these metals: potassium, sodium, lithium, calcium, magnesium, aluminium, zinc, iron, copper, silver, gold
2.20 understand the terms:
• oxidation
• reduction
• redox
• oxidising agent
• reducing agent
in terms of gain or loss of oxygen and loss or gain of electrons.</t>
  </si>
  <si>
    <t>Pages 148–150</t>
  </si>
  <si>
    <t>Practical Name: Displacement reactions; Metals and water demo
Practical Type: Student practical &amp; Demo
Equipment Required:
Spotting tile, pipette, spatula, tweezers; Trough, funnel, etc. (as Lesson 28)
Chemicals Required:
Cu, Fe, Mg, Zn metals; CuSO₄, FeSO₄, MgSO₄, ZnSO₄ solutions; Cu, Mg, Na, K
Safety Notes:
Eye protection; Mg flammable; Demo same as Lesson 28
Additional equipment (lesson resources):
copper (four small pieces of foil about 0.5 × 0.5 cm)
iron (about 0.4 g of iron filings – not rusted)
magnesium (four small pieces of ribbon about 0.5 cm)
zinc (four small pieces of foil about 0.5 × 0.5 cm)
copper sulfate solution (about 5 cm³
of 0.5 mol/dm³
solution)
iron sulfate solution (about 5 cm³
of 0.5 mol/dm³
solution)
magnesium sulfate solution (about 5 cm³
of 0.5 mol/dm³
solution)
zinc sulfate solution (about 5 cm³
of 0.5 mol/dm³
solution)</t>
  </si>
  <si>
    <t>Wear eye protection.
Magnesium is highly flammable – make sure there are no naked flames in the laboratory.</t>
  </si>
  <si>
    <t>Lesson 30  — Displacement Reactions Involving Solutions of Salts
Specification Points:
2.16 understand how metals can be arranged in a reactivity series based on their displacement reactions between:
• metals and aqueous solutions of metal salts.
2.17 know the order of reactivity of these metals: potassium, sodium, lithium, calcium, magnesium, aluminium, zinc, iron, copper, silver, gold
2.20 understand the terms:
• oxidation
• reduction
• redox
• oxidising agent
• reducing agent
in terms of gain or loss of oxygen and loss or gain of electrons.
Pages 148–150
Requisitions:
Practical Name: Displacement reactions; Metals and water demo
Practical Type: Student practical &amp; Demo
Equipment Required:
Spotting tile, pipette, spatula, tweezers; Trough, funnel, etc. (as Lesson 28)
Chemicals Required: 
Cu, Fe, Mg, Zn metals; CuSO₄, FeSO₄, MgSO₄, ZnSO₄ solutions; Cu, Mg, Na, K
Safety Notes: 
Eye protection; Mg flammable; Demo same as Lesson 28
Additional equipment (lesson resources):
copper (four small pieces of foil about 0.5 × 0.5 cm)
iron (about 0.4 g of iron filings – not rusted)
magnesium (four small pieces of ribbon about 0.5 cm)
zinc (four small pieces of foil about 0.5 × 0.5 cm)
copper sulfate solution (about 5 cm³
of 0.5 mol/dm³
solution)
iron sulfate solution (about 5 cm³
of 0.5 mol/dm³
solution)
magnesium sulfate solution (about 5 cm³
of 0.5 mol/dm³
solution)
zinc sulfate solution (about 5 cm³
of 0.5 mol/dm³
solution)
Notes:
Notes on equipment
Iron(II) sulfate is rapidly oxidised by air, so use iron(II) ammonium sulfate and dissolve in dilute sulfuric acid before diluting with water.
Wear eye protection.
Magnesium is highly flammable – make sure there are no naked flames in the laboratory.</t>
  </si>
  <si>
    <t>• describe the reactions of metals with salt solutions
• explain why displacement reactions are redox reactions
• deduce the order of metals in the reactivity series from their reactions with salt solutions
• explain the reactivity series in terms of the tendency of different metal atoms to form cations.</t>
  </si>
  <si>
    <t>• displacement reaction: a reaction in which a more reactive metal takes the place of a less reactive metal in a compound
• reactivity series: a list of metals arranged in order of their reactivity
• aqueous solution: a solution in which water is the solvent</t>
  </si>
  <si>
    <t>**Teaching session**</t>
  </si>
  <si>
    <t xml:space="preserve">Rusting </t>
  </si>
  <si>
    <t>2.18 know the conditions under which iron rusts
2.19 understand how the rusting of iron may be prevented by: 
• barrier methods 
• galvanising
• sacrificial protection</t>
  </si>
  <si>
    <t>Pages 139 and 156–157</t>
  </si>
  <si>
    <t>Practical Name: Corrosion demo; Investigating rusting
Practical Type: Demonstration &amp; Student practical
Equipment Required:
Corroded coin, beaker, rod; 9 test tubes, rack, nails, pipette, spatula
Chemicals Required:
Vinegar/ketchup, Al, HCl, phenolphthalein; Nail varnish, petroleum jelly, cling film, Mg, Cu, CaCl₂, oil, boiled water, rusting indicator
Safety Notes:
Demo: eye protection, HCl irritant; Student: eye protection, CaCl₂ irritant</t>
  </si>
  <si>
    <t>• Wear eye protection.
• Hydrochloric acid is an irritant.
• Care is needed with solutions of acid. Wash off splashes immediately.
• Answers may include: keeping air/water away from iron; storing in an unreactive atmosphere of nitrogen or argon; using a desiccant powder to absorb water vapour; painting; oiling; greasing; coating with plastic. Some students may even say sacrificial protection or galvanising.</t>
  </si>
  <si>
    <t>Lesson 31 — Rusting
Specification Points:
2.18 know the conditions under which iron rusts
2.19 understand how the rusting of iron may be prevented by: 
• barrier methods 
• galvanising
• sacrificial protection
Pages 139 and 156–157
Requisitions:
Practical Name: Corrosion demo; Investigating rusting
Practical Type: Demonstration &amp; Student practical
Equipment Required:
Corroded coin, beaker, rod; 9 test tubes, rack, nails, pipette, spatula
Chemicals Required: 
Vinegar/ketchup, Al, HCl, phenolphthalein; Nail varnish, petroleum jelly, cling film, Mg, Cu, CaCl₂, oil, boiled water, rusting indicator
Safety Notes: 
Demo: eye protection, HCl irritant; Student: eye protection, CaCl₂ irritant
Notes:
Rusting indicator preparation
Add 1.4 g of agar, 2 g of sodium chloride, 0.1 g of potassium hexacyanoferrate(III) and 1 ml of phenolphthalein solution to 100 cm3 of water.
Warm, while stirring, to 95 °C to dissolve the components. Keep the mixture warm but not hot.
Label the container ‘Rusting indicator’.
Wear eye protection.
Hydrochloric acid is an irritant.
Take care with hot apparatus. Do not touch hot equipment directly. Use tongs or heat-proof mats.
Handle glassware carefully. Report any breakages to the teacher immediately.</t>
  </si>
  <si>
    <t>• describe corrosion of metals as the result of oxidation
• describe how rusting of iron occurs
• explain how rusting can be prevented by excluding oxygen and/or water
• explain how sacrificial protection works.</t>
  </si>
  <si>
    <t>• barrier protection: a method of rust prevention by coating with oil, paint, grease or plastic so that water and oxygen cannot reach the iron
• rusting: the corrosion of iron in the presence of oxygen and water
• sacrificial protection: a method of preventing rusting by attaching a block of a more reactive metal to the surface of the iron or steel</t>
  </si>
  <si>
    <t>1. Demonstrate how the tarnish on a corroded coin can be removed using vinegar or ketchup.
2. Put a piece of aluminium in dilute hydrochloric acid. There is no visible reaction to begin with, then bubbling starts and this becomes faster.
3. If there is no visible reaction after a while, gently warm the mixture.
1. Paint one of the iron nails with nail varnish and allow it to dry.
2. Coat another iron nail with petroleum jelly.
3. Stretch cling film over a third iron nail, taking care not to break the plastic.
4. Put the three treated nails and one untreated nail into separate test tubes.
5. Pour rusting indicator into each test tube to completely cover each nail. Leave for about 20 minutes.
6. Wrap a piece of magnesium ribbon around the middle of an iron nail, and put it into a test tube.
7. Repeat step 6, but wrap the nail with a piece of copper foil instead. Put an untreated iron nail into a separate test tube.
8. Pour rusting indicator into each test tube to completely cover each nail. Leave for about 20 minutes.
9. Put an iron nail into a test tube and half cover it with boiled water. This nail is exposed to air and water.
10. Put an iron nail into a test tube, cover it with boiled water, and add a layer of vegetable oil. This nail is exposed to water but not air.
11. Put an iron nail into a test tube and half cover it with calcium chloride. Make sure a spatula is used to transfer the calcium chloride. This nail is exposed to air but not water.
12. Leave the three nails for a few days and then record their appearance.</t>
  </si>
  <si>
    <t>Extracting Metals</t>
  </si>
  <si>
    <t>2.22C know that most metals are extracted from ores found in the Earth’s crust and that unreactive metals are often found as the uncombined element
2.23C explain how the method of extraction of a metal is related to its position in the reactivity series, illustrated by carbon extraction for iron and electrolysis for aluminium</t>
  </si>
  <si>
    <t>Pages 160–162</t>
  </si>
  <si>
    <t>Practical Name: Extracting metals from oxides
Practical Type: Student practical
Equipment Required:
Bunsen, crucible, evaporating basin, pipeclay triangle, spatula, tongs, tripod
Chemicals Required:
Powdered charcoal, CuO, Al₂O₃, PbO, MgO
Safety Notes:
Eye protection; tongs; CuO harmful; PbO toxic</t>
  </si>
  <si>
    <t>• Eye protection should be worn.
• Take care with hot apparatus.
• Copper oxide is harmful. Lead oxide is toxic.</t>
  </si>
  <si>
    <t>Lesson 32 — Extracting Metals
Specification Points:
2.22C know that most metals are extracted from ores found in the Earth’s crust and that unreactive metals are often found as the uncombined element
2.23C explain how the method of extraction of a metal is related to its position in the reactivity series, illustrated by carbon extraction for iron and electrolysis for aluminium
Pages 160–162
Requisitions:
Practical Name: Extracting metals from oxides
Practical Type: Student practical
Equipment Required:
Bunsen, crucible, evaporating basin, pipeclay triangle, spatula, tongs, tripod
Chemicals Required: 
Powdered charcoal, CuO, Al₂O₃, PbO, MgO
Safety Notes: 
Eye protection; tongs; CuO harmful; PbO toxic
Notes:
This will take time so students could work in groups
Eye protection should be worn.
Take care with hot apparatus. Do not touch hot equipment directly. Use tongs or heat-proof mats.</t>
  </si>
  <si>
    <t>• recall the meaning of the term &amp;lsquo;ore&amp;rsquo;
• recall some metals that are found uncombined in the Earth&amp;rsquo;s crust
• explain how and why some metals are extracted from their ores by heating with carbon
• explain how and why some metals are extracted from their ores by electrolysis.</t>
  </si>
  <si>
    <t>• electrolysis: the chemical change caused by passing an electric current through a compound that is either molten or in solution
• ore: rocks that contain enough of a mineral to make it worthwhile to extract the metal.</t>
  </si>
  <si>
    <t>1. Place one spatula of copper oxide in a crucible.
2. Add two spatulas of powdered charcoal (a form of carbon) and stir to mix it with the copper oxide.
3. Add a thin layer of powdered charcoal over the surface of the mixture.
4. Place the crucible in a pipeclay triangle on a tripod with a Bunsen burner and mat as shown in the diagram in Worksheet 2: Practical method.
5. Heat the mixture strongly for a few minutes.
6. Stop heating and allow the mixture to cool down to room temperature.
7. Using tongs, tip the contents of the crucible into the evaporating basin.
8. Observe the crucible to see if there is any copper (brown powder) formed.
9. Use the spatula to see if there is any sign of copper mixed in with the black charcoal powder in the evaporating basin.</t>
  </si>
  <si>
    <t>Uses of Metals and Alloys</t>
  </si>
  <si>
    <t>2.25C explain the uses of aluminium, copper, iron, and steel in terms of their properties (the types of steel will be limited to low-carbon (mild), high-carbon and stainless)
2.26C know that an alloy is a mixture of a metal and one or more elements, usually other metals, or carbon
2.27C explain why alloys are harder than pure metals</t>
  </si>
  <si>
    <t>Pages 163–165</t>
  </si>
  <si>
    <t>Practical Name: Making and testing an alloy
Practical Type: Student practical
Equipment Required:
Crucible, pipe clay triangle, tripod, Bunsen, heat mat, spatula, tongs, balance, tile
Chemicals Required:
Lead, carbon powder, tin, brass, copper, zinc
Safety Notes:
Eye protection; thermal gloves; Pb toxic; ventilated; wash hands</t>
  </si>
  <si>
    <t>• Eye protection should be worn.
• Thermal gloves should be worn when handling hot apparatus.
• Lead metal is toxic; heat it only for the shortest time needed and avoid breathing fumes.
• Make sure the laboratory is adequately ventilated.</t>
  </si>
  <si>
    <t>Lesson 33 — Uses of Metals and Alloys
Specification Points:
2.25C explain the uses of aluminium, copper, iron, and steel in terms of their properties (the types of steel will be limited to low-carbon (mild), high-carbon and stainless)
2.26C know that an alloy is a mixture of a metal and one or more elements, usually other metals, or carbon
2.27C explain why alloys are harder than pure metals
Pages 163–165
Requisitions:
Practical Name: Making and testing an alloy
Practical Type: Student practical
Equipment Required:
Crucible, pipe clay triangle, tripod, Bunsen, heat mat, spatula, tongs, balance, tile
Chemicals Required: 
Lead, carbon powder, tin, brass, copper, zinc
Safety Notes: 
Eye protection; thermal gloves; Pb toxic; ventilated; wash hands
Notes:
Eye protection should be worn.
Thermal gloves should be worn when handling hot apparatus.
Lead metal is toxic; heat it only for the shortest time needed and avoid breathing fumes.
Make sure the laboratory is adequately ventilated.
Carry out this work in a fume cupboard or well-ventilated area.</t>
  </si>
  <si>
    <t>• recall common uses for aluminium, copper, iron and steel
• describe what alloys are
• explain why alloys are often harder than the metals they contain
• explain why different metals and their alloys have different uses.</t>
  </si>
  <si>
    <t>• alloy: a mixture of a metal with one or more other elements, usually other metals or carbon
• low-carbon steel: steel containing a small percentage of carbon; soft and easily shaped
• high-carbon steel: steel containing a higher percentage of carbon; hard but brittle
• stainless steel: an alloy of iron with chromium and nickel that resists corrosion</t>
  </si>
  <si>
    <t>1. Put 1 g of lead into the crucible, and 1 g of tin onto a piece of paper.
2. Set up the apparatus as shown in the image.
3. Heat the crucible strongly with the Bunsen burner until the lead melts. Add a spatula of carbon powder.
4. Carefully add the tin to the molten lead. Stir with the spatula to obtain a liquid mixture of lead and tin.
5. Turn off the Bunsen burner. Use the tongs to pick up the crucible and pour the liquid alloy onto the tile.
6. While you are waiting for your alloy to cool, try to scratch brass, copper and zinc with each other.
7. Try to scratch a piece of lead with your cooled lead–tin alloy then try to scratch the alloy with lead.</t>
  </si>
  <si>
    <t>Tests for Gases</t>
  </si>
  <si>
    <t>2.44 describe tests for these gases: 
	• hydrogen
	• oxygen
	• carbon dioxide
	• ammonia
	• chlorine.</t>
  </si>
  <si>
    <t>Pages 191–192</t>
  </si>
  <si>
    <t>Practical Name: Gas tests demo; Testing gases
Practical Type: Demontration &amp; Student practical
Equipment Required:
Boiling tubes &amp; rack, litmus paper, heat mat, Bunsen, splints, Petri dishes; Same plus limewater
Chemicals Required:
Sealed tubes of H₂, O₂, CO₂, NH₃, Cl₂; limewater; 1 M NH₃; 1 M HCl; diluted bleach
Safety Notes:
Eye protection; fume cupboard for NH₃/Cl₂; ventilated</t>
  </si>
  <si>
    <t>Wear eye protection.
Take care with hot apparatus. Do not touch hot equipment directly. Use tongs or heat-proof mats.
Carry out this work in a fume cupboard or well-ventilated area.
Handle glassware carefully. Report any breakages to the teacher immediately.</t>
  </si>
  <si>
    <t>Lesson 34  — Tests for Gases
Specification Points:
2.44 describe tests for these gases: 
	• hydrogen
	• oxygen
	• carbon dioxide
	• ammonia
	• chlorine.
Pages 191–192
Requisitions:
Practical Name: Gas tests demo; Testing gases
Practical Type: Demontration &amp; Student practical
Equipment Required:
Boiling tubes &amp; rack, litmus paper, heat mat, Bunsen, splints, Petri dishes; Same plus limewater
Chemicals Required: 
Sealed tubes of H₂, O₂, CO₂, NH₃, Cl₂; limewater; 1 M NH₃; 1 M HCl; diluted bleach
Safety Notes: 
Eye protection; fume cupboard for NH₃/Cl₂; ventilated
Notes:
Wear eye protection.
Take care with hot apparatus. Do not touch hot equipment directly. Use tongs or heat-proof mats.
Carry out this work in a fume cupboard or well-ventilated area.
Handle glassware carefully. Report any breakages to the teacher immediately.</t>
  </si>
  <si>
    <t>• describe the test for hydrogen and the positive result
• describe the test for oxygen and the positive result
• describe the test for carbon dioxide and the positive result
• describe the test for ammonia and the positive result
• describe the test for chlorine and the positive result.</t>
  </si>
  <si>
    <t>• bleach: to remove all colour from an object and turn it white
• clear: you can see through it
• colourless: has no colour
• litmus paper: paper that contains a dye that reacts with acids or alkalis to change colour</t>
  </si>
  <si>
    <t>Tests for Positive Ions</t>
  </si>
  <si>
    <t>2.45 describe how to carry out a flame test
2.46  know the colours formed in flame tests for these cations:
• Li+ is red
• Na+ is yellow
• K+ is lilac
• Ca2+ is orange-red
• Cu2+ is blue-green
2.47 describe tests for these cations:
• NH4+ using sodium hydroxide solution and identifying the gas evolved
• Cu2+, Fe2+ and Fe3+ using sodium hydroxide solution</t>
  </si>
  <si>
    <t>Pages 192–194</t>
  </si>
  <si>
    <t>Practical Name: Flame tests; Metal hydroxide tests; Various demos
Practical Type: Student practical &amp; Demos
Equipment Required:
Bunsen, heat mat, flame test loop, test tubes, rack, pipettes
Chemicals Required:
LiCl, NaCl, KCl, CaCl2; 1 M NaOH, 1 M CuSO₄, FeSO₄, Fe(NO₃)₃; Various for demos
Safety Notes:
Eye protection; LiCl irritant; NaOH irritant
Additional equipment (lesson resources):
heat-resistant mat
the following salts: lithium chloride labelled Li+
, sodium chloride
labelled Na+
, potassium chloride labelled K+
, calcium
sulfate labelled Ca2+
unknown solids labelled 1–4 and randomly assigned from the four solids
above</t>
  </si>
  <si>
    <t>Eye protection should be worn.
Take care with hot apparatus. Do not touch hot equipment directly. Use tongs or heat-proof mats.
Handle glassware carefully. Report any breakages to the teacher immediately.
hydrochloric acid and hold it in a Bunsen burner flame.
the wire and the unknown salt in a roaring (blue) Bunsen burner flame.</t>
  </si>
  <si>
    <t>Lesson 35  — Tests for Positive Ions
Specification Points:
2.45 describe how to carry out a flame test
2.46  know the colours formed in flame tests for these cations:
• Li+ is red
• Na+ is yellow
• K+ is lilac
• Ca2+ is orange-red
• Cu2+ is blue-green
2.47 describe tests for these cations:
• NH4+ using sodium hydroxide solution and identifying the gas evolved
• Cu2+, Fe2+ and Fe3+ using sodium hydroxide solution
Pages 192–194
Requisitions:
Practical Name: Flame tests; Metal hydroxide tests; Various demos
Practical Type: Student practical &amp; Demos
Equipment Required:
Bunsen, heat mat, flame test loop, test tubes, rack, pipettes
Chemicals Required: 
LiCl, NaCl, KCl, CaCl2; 1 M NaOH, 1 M CuSO₄, FeSO₄, Fe(NO₃)₃; Various for demos
Safety Notes: 
Eye protection; LiCl irritant; NaOH irritant
Additional equipment (lesson resources):
heat-resistant mat
the following salts: lithium chloride labelled Li+
, sodium chloride
labelled Na+
, potassium chloride labelled K+
, calcium
sulfate labelled Ca2+
unknown solids labelled 1–4 and randomly assigned from the four solids
above
Notes:
Eye protection should be worn.
Take care with hot apparatus. Do not touch hot equipment directly. Use tongs or heat-proof mats.
Handle glassware carefully. Report any breakages to the teacher immediately.</t>
  </si>
  <si>
    <t>• explain why the test for a given ion must be unique to that ion
• recall some metal hydroxide precipitate colours
• describe how to identify metal ions using sodium hydroxide solution
• describe how to identify ammonium ions and ammonia. Slideshow: Learning objectives</t>
  </si>
  <si>
    <t>• nichrome: an unreactive metal alloy
• precipitate: a fine insoluble solid that is formed by a chemical reaction involving substances in solution Slideshow: Key definitions</t>
  </si>
  <si>
    <t>**Teaching session 1**
**Teaching session 2**
**Teaching session 2**
Testing for cations
Testing for cations using sodium hydroxide
Dissolve the unknown salt in water.
Add 1 cm³
of the salt solution to a test tube.
Add 1 cm³
of sodium hydroxide solution to the test tube.
Observe the colour of the precipitate formed.
Testing for ammonium ions using sodium hydroxide
1. Add an unknown solution to a depth
of about 2 cm in a test tube.
2. Add a few drops of sodium
hydroxide solution then shake gently to mix.
3. Warm the mixture using a Bunsen
burner flame.
4. Remove the test tube from the
flame and hold damp red litmus paper near the
mouth of the test tube.
5. The paper turns blue due to
ammonia gas produced in the test.</t>
  </si>
  <si>
    <t>Testing for Negative Ions and Water</t>
  </si>
  <si>
    <t>2.48 describe tests for these anions:
• Cl-, Br- and I- using acidified silver nitrate solution
• SO42- using acidified barium chloride solution
• CO32- using hydrochloric acid and identifying the gas evolved.
2.49 describe a test for the presence of water using anhydrous copper(II) sulfate
2.50 describe a physical test to show whether a sample of water is pure</t>
  </si>
  <si>
    <t>Pages 192 and 194–196</t>
  </si>
  <si>
    <t>Practical Name: Testing for negative ions; Lead halide demo
Practical Type: Student practical &amp; Demo
Equipment Required:
Dropping pipettes, test tubes, rack; Test tubes, rack
Chemicals Required:
BaCl₂, AgNO₃, HNO₃, HCl, KCl, KBr, KI, Na₂SO₄, Na₂CO₃; KBr, Pb(NO₃)₂, KI
Limewater and delivery tubes
Safety Notes:
Eye protection; BaCl₂ harmful; HNO₃ irritant; Pb(NO₃)₂ toxic
Additional equipment (lesson resources):
0.1 mol/dm³ barium chloride
0.05 mol/dm³ silver nitrate
0.4 mol/dm³ nitric acid
1.0 mol/dm³ hydrochloric acid
0.1 mol/dm³ potassium chloride labelled Cl
0.1 mol/dm³ potassium bromide labelled Br
0.1 mol/dm³ potassium iodide labelled I
0.1 mol/dm³ sodium sulfate labelled SO
42−
0.5 mol/dm³ sodium carbonate labelled CO³
2−
unknown solutions labelled 1–5 and randomly assigned from the five
labelled solutions above</t>
  </si>
  <si>
    <t>Eye protection should be worn.
Avoid skin contact with the substances used.
Barium chloride solution is harmful.
Dilute nitric acid is an irritant.
Handle glassware carefully. Report any breakages to the teacher immediately.</t>
  </si>
  <si>
    <t>Lesson 37  — Testing for Negative Ions and Water
Specification Points:
2.48 describe tests for these anions:
• Cl–, Br– and I– using acidified silver nitrate solution
• SO42– using acidified barium chloride solution
• CO32– using hydrochloric acid and identifying the gas evolved.
2.49 describe a test for the presence of water using anhydrous copper(II) sulfate
2.50 describe a physical test to show whether a sample of water is pure
Pages 192 and 194–196
Requisitions:
Practical Name: Testing for negative ions; Lead halide demo
Practical Type: Student practical &amp; Demo
Equipment Required:
Dropping pipettes, test tubes, rack; Test tubes, rack
Chemicals Required: 
BaCl₂, AgNO₃, HNO₃, HCl, KCl, KBr, KI, Na₂SO₄, Na₂CO₃; KBr, Pb(NO₃)₂, KI
Limewater and delivery tubes
Safety Notes: 
Eye protection; BaCl₂ harmful; HNO₃ irritant; Pb(NO₃)₂ toxic
Additional equipment (lesson resources):
0.1 mol/dm³ barium chloride
0.05 mol/dm³ silver nitrate
0.4 mol/dm³ nitric acid
1.0 mol/dm³ hydrochloric acid
0.1 mol/dm³ potassium chloride labelled Cl
0.1 mol/dm³ potassium bromide labelled Br
0.1 mol/dm³ potassium iodide labelled I
0.1 mol/dm³ sodium sulfate labelled SO
42−
0.5 mol/dm³ sodium carbonate labelled CO³
2−
unknown solutions labelled 1–5 and randomly assigned from the five
labelled solutions above
Notes:
Eye protection should be worn.
Avoid skin contact with the substances used.
Barium chloride solution is harmful.
Dilute nitric acid is an irritant.
Handle glassware carefully. Report any breakages to the teacher immediately.</t>
  </si>
  <si>
    <t>• describe how to identify carbonate ions
• describe how to identify sulfate ions in solution
• describe how to identify halide ions in solution
• describe a test for the presence of water.</t>
  </si>
  <si>
    <t>• anhydrous: without water
• carbonate ions: ions formed by carbon and oxygen
• halide ions: ions formed by halogens
• sulfate ions: ions formed by sulfur and water</t>
  </si>
  <si>
    <t>**Teaching session 1**
Table: Tests for negative ions
**Teaching session 1**
Negative ion tests
Carbonate test
Add a little dilute hydrochloric acid to a test tube containing a small amount
of an unknown sample.
If bubbles are produced, bubble the gas through limewater.
If the limewater turns cloudy white then carbon dioxide was produced and
therefore your sample contained
carbonate ions.
Sulfate test
Make a solution of the sample with distilled water, add a small amount to a test
tube.
Add an equal volume of dilute hydrochloric acid to the sample to remove any
other anions present.
Add barium chloride solution.
If a white precipitate is formed then sulfate ions are present in the sample.
Halide test
Add a small amount of the sample to a test tube and add distilled water to make
a solution.
Add an equal volume of dilute nitric acid to the test tube.
Add silver nitrate to the test tube.
If halide ions are present a precipitate will form.
A white precipitate shows that chloride ions are present in the sample.
A cream precipitate shows that bromide ions are present.
A yellow precipitate shows that iodide ions are present.
**Teaching session 2**
Testing for water
Add the unknown liquid to
anhydrous
copper sulfate which is
white.
Any sample that contains water will turn anhydrous copper sulfate
blue.</t>
  </si>
  <si>
    <t>Rates of Reaction – Surface Area and Concentration</t>
  </si>
  <si>
    <t>3.9 describe experiments to investigate the effects of changes in surface area of a solid, concentration of a solution, temperature on the rate of a reaction 
3.10 describe the effects of changes in surface area of a solid, concentration of a solution, temperature on the rate of a reaction
3.11 explain the effects of changes in surface area of a solid, concentration of a solution, and temperature on the rate of a reaction in terms of particle collision theory</t>
  </si>
  <si>
    <t>Pages 227–233</t>
  </si>
  <si>
    <t>Practical Name: Surface area &amp; rate; Concentration &amp; rate; Whoosh bottle demo
Practical Type: Student practical &amp; Demo
Equipment Required:
Measuring cylinders, conical flask, delivery tube &amp; bung, stop clock, balance, trough, clamp; Plus safety screen, bottle for demo
Chemicals Required:
1 M HCl, marble chips; Various conc. HCl; Ethanol (or propanol)
Safety Notes:
Eye protection; acid splashes; Demo: eye protection, screen, students ≥5m, only polycarbonate bottle</t>
  </si>
  <si>
    <t>Wear eye protection. Handle acids and alkalis with care; wash any splashes off skin immediately.
Ethanol/spirit is flammable. Keep away from naked flames and sources of ignition.
Handle glassware carefully. Report any breakages to the teacher immediately.</t>
  </si>
  <si>
    <t>Lesson 38 — Rates of Reaction – Surface Area and Concentration
Specification Points:
3.9 describe experiments to investigate the effects of changes in surface area of a solid, concentration of a solution, temperature on the rate of a reaction 
3.10 describe the effects of changes in surface area of a solid, concentration of a solution, temperature on the rate of a reaction
3.11 explain the effects of changes in surface area of a solid, concentration of a solution, and temperature on the rate of a reaction in terms of particle collision theory
Pages 227–233
Requisitions:
Practical Name: Surface area &amp; rate; Concentration &amp; rate; Whoosh bottle demo
Practical Type: Student practical &amp; Demo
Equipment Required:
Measuring cylinders, conical flask, delivery tube &amp; bung, stop clock, balance, trough, clamp; Plus safety screen, bottle for demo
Chemicals Required: 
1 M HCl, marble chips; Various conc. HCl; Ethanol (or propanol)
Safety Notes: 
Eye protection; acid splashes; Demo: eye protection, screen, students ≥5m, only polycarbonate bottle
Notes:
Wear eye protection. Handle acids and alkalis with care; wash any splashes off skin immediately.
Ethanol/spirit is flammable. Keep away from naked flames and sources of ignition.
Handle glassware carefully. Report any breakages to the teacher immediately.</t>
  </si>
  <si>
    <t>• explain what has to happen for reactions to take place
• explain why changes in the frequency of collisions between particles affect the rate of reaction
• describe how to calculate rate of reaction from experimental data.</t>
  </si>
  <si>
    <t>• activation energy: the minimum amount of energy required for a collision to be successful, i.e., result in a reaction
• collision theory: states that for a reaction to occur, the reactant particles must collide with each other, in the correct orientation and with sufficient energy
• concentration: the amount of solute dissolved in a certain volume of solvent; in general, if you increase the concentration of reactants in a reaction, the rate of reaction increases
• rate: the speed at which the amount of reactant decreases or the amount of product increases; it is measured as the change in concentration of reactants or products per unit time
• surface area: the area on the surface of a solid that is exposed</t>
  </si>
  <si>
    <t>Core Practical – The Effect of Concentration and Surface Area on the Rate of a Reaction</t>
  </si>
  <si>
    <t>3.9 describe experiments to investigate the effects of changes in surface area of a solid, concentration of a solution, temperature, on the rate of a reaction
3.10 describe the effects of changes in surface area of a solid, concentration of a solution, pressure of a gas, temperature and the use of a catalyst on the rate of a reaction
3.11 explain the effects of changes in surface area of a solid, concentration of a solution, pressure of a gas and temperature on the rate of a reaction in terms of particle collision theory
3.15 practical: investigate the effect of changing the surface area of marble chips and of changing the concentration of hydrochloric acid on the rate of reaction between marble chips and dilute hydrochloric acid.</t>
  </si>
  <si>
    <t>Pages 231–233
Lab Book: Pages 37–41</t>
  </si>
  <si>
    <t>• Wear eye protection.
• Care is needed with acid solutions. Wash off splashes immediately. Hydrochloric acid at a concentration of 1.0 mol/dm³ is a low hazard but may still cause harm in eyes and in cuts.
• Calcium carbonate is a low hazard.
• Eye protection must be worn by teacher and students.
• The best alcohol to use is propan-2-ol. Propan-1-ol, ethanol or methanol [not above room temperatures greater that 22 °C] could be used – do not use any other flammable liquids.
• Do not add oxygen to the bottle.
• Only use polycarbonate bottles, identified by PC mark on base. Do not use glass bottles or damaged polycarbonate bottles.</t>
  </si>
  <si>
    <t>Lesson 39 — Core Practical – The Effect of Concentration and Surface Area on the Rate of a Reaction
Specification Points:
3.9 describe experiments to investigate the effects of changes in surface area of a solid, concentration of a solution, temperature, on the rate of a reaction
3.10 describe the effects of changes in surface area of a solid, concentration of a solution, pressure of a gas, temperature and the use of a catalyst on the rate of a reaction
3.11 explain the effects of changes in surface area of a solid, concentration of a solution, pressure of a gas and temperature on the rate of a reaction in terms of particle collision theory
3.15 practical: investigate the effect of changing the surface area of marble chips and of changing the concentration of hydrochloric acid on the rate of reaction between marble chips and dilute hydrochloric acid.
Pages 231–233
Lab Book: Pages 37–41
Requisitions:
Practical Name: Surface area &amp; rate; Concentration &amp; rate; Whoosh bottle demo
Practical Type: Student practical &amp; Demo
Equipment Required:
Measuring cylinders, conical flask, delivery tube &amp; bung, stop clock, balance, trough, clamp; Plus safety screen, bottle for demo
Chemicals Required: 
1 M HCl, marble chips; Various conc. HCl; Ethanol (or propanol)
Safety Notes: 
Eye protection; acid splashes; Demo: eye protection, screen, students ≥5m, only polycarbonate bottle
Notes:
Wear eye protection.
Ethanol/spirit is flammable. Keep away from naked flames and sources of ignition.
Handle glassware carefully. Report any breakages to the teacher immediately.</t>
  </si>
  <si>
    <t>• describe experiments to investigate the effects of changes in surface area of a solid or concentration of a solution on the rate of a reaction
• describe the effects of changes in surface area of a solid or concentration of a solution on the rate of a reaction
• explain the effects of changes in surface area of a solid or concentration of a solution on the rate of a reaction
• explain why a graph of concentration against time is a curve.</t>
  </si>
  <si>
    <t>• concentration: the amount of solute dissolved in a certain volume of solvent; in general, if you increase the concentration of reactants in a reaction, the rate of reaction increases
• rate: the speed at which the amount of reactant decreases or the amount of product increases; it is measured as the change in concentration of reactants or products per unit time
• surface area: the area on the surface of a solid that is exposed</t>
  </si>
  <si>
    <t>1. Set up the apparatus as shown in the image.
2. Measure out 40 cm³ of 1 mol/dm³ hydrochloric acid into a conical flask.
3. Add 5 g of small marble chips to the flask.
4. Immediately stopper the flask and start the stop clock.
5. Note the total volume of gas produced after every 30 seconds for 5 minutes or until the reaction has finished.
6. Repeat steps 1–5 using 5 g of larger marble chips.
1. Add 30–40 cm³ of ethanol to the chilled water dispenser bottle and close the end with a rubber bung.
2. Roll the bottle horizontally for 10 s to distribute alcohol vapours.
3. Pour out any excess liquid ethanol into a beaker and keep this beaker a minimum of 1 m away from the demonstration area before ignition.
4. Place dispenser bottle behind a safety screen and ignite with a lit wooden splint, taped to the end of a metre rule held at a downward angle.</t>
  </si>
  <si>
    <t>Energy and Rates of Reaction</t>
  </si>
  <si>
    <t>3.9 describe experiments to investigate the effects of changes in temperature, and the use of a catalyst on the rate of a reaction
3.10 describe the effects of changes in pressure of a gas, temperature, and the use of a catalyst on the rate of a reaction
3.11 explain the effects of changes in pressure of a gas and temperature on the rate of a reaction in terms of particle collision theory
3.12 know that a catalyst is a substance that increases the rate of a reaction, but is chemically unchanged at the end of the reaction
3.13 know that a catalyst works by providing an alternative pathway with lower activation energy
3.14C draw and explain reaction profile diagrams showing ΔH and activation energy
3.16 practical: investigate the effect of different solids on the catalytic decomposition of hydrogen peroxide solution</t>
  </si>
  <si>
    <t>Pages 234–238</t>
  </si>
  <si>
    <t>Practical Name: Temperature &amp; rate (optional); Catalysts &amp; rate; MnO₂ demo
Practical Type: Student practical &amp; Demo
Equipment Required:
Conical flask, cylinders, stop clock, test tube, thermometer, water bath, paper; Test tubes, rack, spatula; Safety screen, flask, splints
Chemicals Required:
(OPTIONAL) Na₂S₂O₃ 50 g dm–3, 2 M HCl;
Al₂O₃, CuO, Fe₂O₃, MnO₂, ZnO, H₂O₂; H₂O₂, MnO₂
Safety Notes:
Eye protection; acid splashes; avoid SO₂ fumes; H₂O₂ harmful; Demo: eye protection, screen</t>
  </si>
  <si>
    <t>Wear eye protection at all times.
Take care with hot apparatus. Do not touch hot equipment directly. Use tongs or heat-proof mats.
Handle glassware carefully. Report any breakages to the teacher immediately.</t>
  </si>
  <si>
    <t>Lesson 40  — Energy and Rates of Reaction
Specification Points:
3.9 describe experiments to investigate the effects of changes in temperature, and the use of a catalyst on the rate of a reaction
3.10 describe the effects of changes in pressure of a gas, temperature, and the use of a catalyst on the rate of a reaction
3.11 explain the effects of changes in pressure of a gas and temperature on the rate of a reaction in terms of particle collision theory
3.12 know that a catalyst is a substance that increases the rate of a reaction, but is chemically unchanged at the end of the reaction
3.13 know that a catalyst works by providing an alternative pathway with lower activation energy
3.14C draw and explain reaction profile diagrams showing ΔH and activation energy
3.16 practical: investigate the effect of different solids on the catalytic decomposition of hydrogen peroxide solution
Pages 234–238
Requisitions:
Practical Name: Temperature &amp; rate (optional); Catalysts &amp; rate; MnO₂ demo
Practical Type: Student practical &amp; Demo
Equipment Required:
Conical flask, cylinders, stop clock, test tube, thermometer, water bath, paper; Test tubes, rack, spatula; Safety screen, flask, splints
Chemicals Required: 
(OPTIONAL) Na₂S₂O₃  50 g dm–3, 2 M HCl; 
Al₂O₃, CuO, Fe₂O₃, MnO₂, ZnO, H₂O₂; H₂O₂, MnO₂
Safety Notes: 
Eye protection; acid splashes; avoid SO₂ fumes; H₂O₂ harmful; Demo: eye protection, screen
Notes:
Wear eye protection at all times.
Take care with hot apparatus. Do not touch hot equipment directly. Use tongs or heat-proof mats.
Handle glassware carefully. Report any breakages to the teacher immediately.</t>
  </si>
  <si>
    <t>• describe an experiment to investigate the effect of changing temperature on the rate of a reaction
• describe and explain the effect of changing temperature on the rate of a reaction
• explain that a catalyst lowers activation energy by providing an alternative reaction pathway, and is chemically unchanged at the end of a reaction
• draw and explain reaction profile diagrams showing &amp;Delta;H and activation energy
• describe how to investigate the effect of different catalysts on the catalytic decomposition of hydrogen peroxide solution.</t>
  </si>
  <si>
    <t>• rate of reaction: the speed at which reactants are converted into products
• activation energy: the minimum amount of energy that colliding particles must have in order to react
• catalyst: a substance that increases the rate of a chemical reaction without being used up
• collision theory: the idea that particles must collide with sufficient energy for a reaction to occur</t>
  </si>
  <si>
    <t>**Teaching session 1**
Image: Temperature and rate of
reaction
Presentation: Factors affecting reaction rates:
Temperature
**Teaching session 2**
reaction
**Teaching session 1**
Equipment
We can follow the rate of the reaction between sodium thiosulfate and hydrochloric
acid by measuring the time taken for a ‘cross’ placed beneath the reaction container
to disappear.
**Teaching session 2**
Catalysts and rates of reaction
The beakers both contain hydrogen peroxide solution. The right-hand one has
manganese(IV) oxide added to speed up oxygen production.
The catalyst is not used up. So, if 1 g of manganese dioxide is added at the start,
then 1 g will be recovered at the end.
Catalysts analogy
Not all cars have enough energy to go over the hill.
Reaction profiles</t>
  </si>
  <si>
    <t xml:space="preserve">Writing Equations and Relative Formula Mass </t>
  </si>
  <si>
    <t>1.25 write word equations and balanced chemical equations (including state symbols):
• for reactions studied in this specification
• for unfamiliar reactions where suitable information is provided
1.26 calculate relative formula masses (including relative molecular masses) (Mr) from relative atomic masses (Ar)</t>
  </si>
  <si>
    <t>Pages 38–44</t>
  </si>
  <si>
    <t>Lesson 41  — Writing Equations and Relative Formula Mass
Specification Points:
1.25 write word equations and balanced chemical equations (including state symbols):
• for reactions studied in this specification
• for unfamiliar reactions where suitable information is provided
1.26 calculate relative formula masses (including relative molecular masses) (Mr) from relative atomic masses (Ar)
Pages 38–44
Requisitions:
Practical Name: No practical work
Practical Type: N/A
Equipment Required:
N/A
Chemicals Required: 
N/A
Safety Notes: 
N/A</t>
  </si>
  <si>
    <t>• write word equations from chemical reactions
• write balanced chemical symbol equations
• calculate the relative formula mass of a substance from relative atomic masses.</t>
  </si>
  <si>
    <t>• balancing equations: a process of putting coefficients in front of formulae so that the same number of atoms of each type is on both sides of an equation
• coefficient: a number written in front of formulae in a balanced chemical equation
• formula: a representation of a chemical showing the elements present and how many atoms are bonded together in each molecule
• relative atomic mass: the weighted average mass of the isotopes of an element, relative to the mass of one-twelfth of a 12C atom
• relative formula mass: the weighted average mass of a formula unit of a compound, relative to the mass of one-twelfth of a 12C atom; it is sometimes called the relative molecular mass, when it refers to covalent molecules
• state symbol: a symbol after each species of an equation that indicates whether it is a solid (s), liquid (l), solution (aq) or gas (g)
• symbol equation: a representation of a chemical reaction using chemical formulae</t>
  </si>
  <si>
    <t>**Teaching session 1**
Relative formula mass
The
relative atomic mass
\(A_\text{r}\) of an element is the weighted
average mass of the isotopes of the element.  It is measured on a scale on
which a carbon-12 atom has a mass of exactly 12.
Relative atomic masses can be found on the Periodic Table.
The
relative formula mass
\(M_\text{r}\) of a substance is the sum of
the relative atomic masses of all the atoms or ions in its formula.
Worked example
The formula of nitric acid is \({\mathrm{HNO}}_3\).
This means that it contains one hydrogen atom, one nitrogen atom and three oxygen
atoms.
\({A}_{\mathrm r}(\mathrm H)\) =
1        \({A}_{\mathrm r}(\mathrm N)\) =
14        \({ A}_{\mathrm r}(\mathrm O)\) =
16. \({A}_{\mathrm r}(\mathrm H)\) + \({A}_{\mathrm r}(\mathrm N)\) + 3 ×
\({A}_{\mathrm r}(\mathrm O)\)
= 1 + 14 + (3 × 16)
= 63
Question 1
Calculate the relative formula mass of sodium chloride, NaCl.
Relative atomic masses: Na = 23, Cl = 35.5
Answer
\({ M}_{\mathrm r}\) of NaCl  = \({A}_{\mathrm
r}\)(Na) + \({A}_{\mathrm r}\)(Cl)
= 23 + 35.5
= 58.5
Notice that relative masses do not have units.
Question 2
Calculate the relative formula mass of carbon dioxide, \({\mathrm{CO}}_2\).
Relative atomic masses: C = 12, O = 16
Answer
\({ M}_{\mathrm r}\) of \({\mathrm{CO}}_2\)
= \({A}_{\mathrm r}\)(C) + 2
\(\times\) \({A}_{\mathrm r}\)(O)
= 12 +
(2 \(\times\) 16)
=
44. Question 3
Calculate the relative formula mass of iron(III) oxide,
\({\mathrm{Fe}}_2{\mathrm{O}}_3\).
Relative atomic masses: O = 16, Fe = 56
Answer
\({M}_{\mathrm r}\) of \({\mathrm{Fe}}_2{\mathrm{O}}_3\)
= 2 \(\times\) \({ A}_{\mathrm r}\)(Fe) + 3
\(\times\) \({A}_{\mathrm r}\)(O)
=
(2 \(\times\) 56) + (3 \(\times\) 16)
=
160
Question 4
Calculate the relative formula mass of zinc sulfate, \({\mathrm{ZnSO}}_4\).
Relative atomic masses: O = 16, S = 32, Zn = 65
Answer
\({M}_{\mathrm r}\) of \({\mathrm{ZnSO}}_4\)
= \({A}_{\mathrm r}\)(Zn) +
\({A}_{\mathrm r}\)(S) + 4 \(\times\) \({A}_{\mathrm r}\)(O)
= 65
+ 32 + (4 \(\times\) 16)
=
161
Question 5
Calculate the relative formula mass of ammonium chloride,
\({\mat</t>
  </si>
  <si>
    <t>The Mole</t>
  </si>
  <si>
    <t>1.27 know that the mole (mol) is the unit for the amount of a substance
1.28 understand how to carry out calculations involving amount of substance, relative atomic mass (Ar) and relative formula mass (Mr)
1.29 calculate reacting masses using experimental data and chemical equations</t>
  </si>
  <si>
    <t>Pages 44–46</t>
  </si>
  <si>
    <t>Lesson 42  — The Mole
Specification Points:
1.27 know that the mole (mol) is the unit for the amount of a substance
1.28 understand how to carry out calculations involving amount of substance, relative atomic mass (Ar) and relative formula mass (Mr)
1.29 calculate reacting masses using experimental data and chemical equations
Pages 44–46
Requisitions:
Practical Name: No practical work
Practical Type: N/A
Equipment Required:
N/A
Chemicals Required: 
N/A
Safety Notes: 
N/A</t>
  </si>
  <si>
    <t>• describe what is meant by a mole of particles
• calculate the number of particles in a given number of moles of a substance and vice versa
• calculate the number of moles of particles in a given mass of a certain substance and vice versa
• explain that a balanced equation describes the ratio in which chemicals react.</t>
  </si>
  <si>
    <t>• Avogadro's number: this is the number of particles in one mole of anything (6.02 &amp;times; 1023)
• mole: a unit of the amount of a substance; a mole of anything contains the same number of particles as there are carbon atoms in 12 g of 12C (6.02 &amp;times; 1023) particles</t>
  </si>
  <si>
    <t>**Teaching session 1** The mole Words meaning numbers Word Number this word represents Example Dozen 12. A dozen eggs is 12 eggs. A dozen cars is 12 cars. A dozen pencils is 12 pencils. Pair 2. A pair of shoes is 2 shoes. A pair of gloves is 2 gloves. A pair of socks is 2 socks. Century 10⁰ This happened 3 centuries ago means this happened 300 years ago. Atoms are too small to count and too small to weigh individually, therefore chemists think about them in large numbers that can be weighed. For this, the concept of the mole is used. One mole of anything contains 6.02 × 10 23. particles of that item. That is 602 000 000 000 000 000 000 000 when not in standard form! This number was calculated by a scientist called Avogadro, who determined that this is the number of atoms in 12 g of carbon, if every carbon atom is the
12. C isotope. The number 6.02 × 10 23. is referred to as Avogadro’s number. The mole Calculating the number of moles You can calculate the number of moles of any substance using this equation: \(\mathrm{number}\;\mathrm{of}\;\mathrm{moles}\;\mathrm{of}\;\mathrm{substance}\;=\;\frac{\mathrm{mass}\;\mathrm{of}\;\mathrm{substance}\;\left(\mathrm g\right)}{A_{\mathrm r}\;\mathrm{or}\;\;M_{\mathrm r}}\) for example, the relative atomic mass of magnesium is 24 so, 1 mol of magnesium has a mass of 24 g and contains 6.02 × 10 23. atoms. Calculating the number of particles in a substance If: 1 mole of atoms = 6.02 × 10
23. atoms then: 2 moles of atoms = (6.02 × 10 23. × 2) = 1.204 × 10
24. atoms and: 0.5 moles of atoms = (6.02 ×
10. 23. × 0.5) = 3.01 × 10
23. atoms How many oxygen atoms are in two moles of oxygen molecules? Step 1 Determine how many molecules there are: Two moles contain 2 × (6.02 ×10 23. ) = 1.204 ×
10. 24. molecules. There are 1.204 × 10 24. oxygen molecules in 2 moles of oxygen molecules. Step 2 Determine how many atoms there are in each molecule: A molecule of oxygen has the formula O₂ . This means there are two oxygen atoms in every molecule. Step 3 Multiply the moles of molecules by the number of atoms in each molecule. 1.204 × 10 24. molecules, each made of two oxygen atoms contains 2 × (1.204 × 10 24. ) = 2.408 × 10 24. atoms. There are 2.408 × 10 24. oxygen atoms in two moles of oxygen molecules.</t>
  </si>
  <si>
    <t>Reacting Masses and Percentage Yield</t>
  </si>
  <si>
    <t>1.28 understand how to carry out calculations involving amount of substance, relative atomic mass (Ar) and relative formula mass (Mr)
1.29 calculate reacting masses using experimental data and chemical equations
1.30 calculate percentage yield</t>
  </si>
  <si>
    <t>Pages 57–58</t>
  </si>
  <si>
    <t>Practical Name: Percentage yield of CO₂
Practical Type: Student practical
Equipment Required:
Conical flask with bung &amp; tubing to gas syringe, stand with clamp, measuring cylinder, spatula, watch glass, balance
Chemicals Required:
Marble chips (~5g), 0.5 M HCl (~20 cm³)
Safety Notes:
Eye protection; HCl irritant
Additional equipment (lesson resources):
conical flask with bung and glass tubing connected to a gas syringe
retort stand with syringe clamp or boss and clamp to support syringe
small marble chips (about 5 g)
hydrochloric acid (about 20 cm³
of 0.5 mol/dm³)</t>
  </si>
  <si>
    <t>Wear eye protection.
Dilute hydrochloric acid is an irritant.
Handle glassware carefully. Report any breakages to the teacher immediately.</t>
  </si>
  <si>
    <t>Lesson 43  — Reacting Masses and Percentage Yield
Specification Points:
1.28 understand how to carry out calculations involving amount of substance, relative atomic mass (Ar) and relative formula mass (Mr)
1.29 calculate reacting masses using experimental data and chemical equations
1.30 calculate percentage yield
Pages 57–58
Requisitions:
Practical Name: Percentage yield of CO₂
Practical Type: Student practical
Equipment Required:
Conical flask with bung &amp; tubing to gas syringe, stand with clamp, measuring cylinder, spatula, watch glass, balance
Chemicals Required: 
Marble chips (~5g), 0.5 M HCl (~20 cm³)
Safety Notes: 
Eye protection; HCl irritant
Additional equipment (lesson resources):
conical flask with bung and glass tubing connected to a gas syringe
retort stand with syringe clamp or boss and clamp to support syringe
small marble chips (about 5 g)
hydrochloric acid (about 20 cm³
of 0.5 mol/dm³)
Notes:
Wear eye protection.
Dilute hydrochloric acid is an irritant.
Handle glassware carefully. Report any breakages to the teacher immediately.</t>
  </si>
  <si>
    <t>• calculate the mass of a reactant needed to produce a given amount of product, using a balanced equation
• calculate the percentage yield of a reaction
• describe some reasons why the actual yield is less than the theoretical yield of a reaction.</t>
  </si>
  <si>
    <t>• actual yield: the mass of product actually made in a reaction
• mass = molar mass (Mr) \(&amp;times;\) number of moles
• percentage yield: the actual yield expressed as a percentage of the theoretical yield
• theoretical yield: the maximum mass of a product that should be possible to make in a reaction
• yield: the amount of something that is produced in a chemical reaction</t>
  </si>
  <si>
    <t>**Teaching session 2** **Teaching session 1** Reacting masses What mass of magnesium oxide will be formed when 96 g of magnesium is completely burned in oxygen? Step 1: Write the balanced equation for the reaction. Answer 2Mg(s) + O₂ (g) \(\rightarrow\) 2MgO(s) What mass of magnesium oxide will be formed when 96 g of magnesium is completely burned in oxygen? Step 2: Calculate the number of moles of the species you have been given the mass of. Answer 1 Using the formula: \(\mathrm{number}\;\mathrm{of}\;\mathrm{moles}=\frac{\mathrm{mass}}{\mathrm{mass}\;\mathrm{of}\;\mathrm{one}\;\mathrm{mole}}\) Answer 2 Here the mass of one mole of Mg is equal to its A r value = 24. Answer 3 Moles of Mg = 96 ÷ 24 = 4 moles What mass of magnesium oxide will be formed when 96 g of magnesium is completely burned in oxygen? Step 3: Work out the number of moles of the species you have been asked to find the mass of, using the molar ratio from the balanced equation. Answer 1 Mg : MgO Answer 2 2 : 2 Answer 3 4 : 4 What mass of magnesium oxide will be formed when 96 g of magnesium is completely burned in oxygen? Step 4: Use the number of moles of the target species to calculate the mass. Answer 1 A r value of O = 16 Answer 2 Mass of MgO = mass of 1 mole MgO × number of moles Answer 3 Mass of 1 mole of MgO = M r of MgO = 24 + 16 = 40; number of moles = 4 Answer 4 Mass of magnesium oxide = 40 × 4 = 160 g **Teaching session 1** Calculating the mass of a reactant Worked example Calculate the minimum mass of oxygen needed to react with 1.38 g of sodium. 4Na+ O₂ → 2Na
2. O Step 1. Write down the A r or M r of the substances you have been asked about: A r of Na = 23 M r of O₂ = 2 × 16 = 32. Worked example (continued) Step 2 Use the balancing numbers in the equation: 4Na reacts with O₂ Step 3. Calculate the ratio of masses. Do this by using the M r of each substance and the equation balancing numbers: 4 × 23 = 92 g of Na reacts with 32 g O₂ Worked example (continued) Step 4 Calculate the mass of reactant needed to react with 1 g of the other reactant: 1 g of Na reacts with \(\frac{32}{92}\) g O₂ Step 5 Calculate the mass of reactant needed to</t>
  </si>
  <si>
    <t>Limiting Reagents and Gas Volumes</t>
  </si>
  <si>
    <t>1.29 calculate reacting masses using experimental data and chemical equations
1.35C understand how to carry out calculations involving gas volumes and the molar volume of a gas (24 dm3 and 24 000 cm3 at room temperature and pressure (rtp))</t>
  </si>
  <si>
    <t>Pages 58–59 and 64–67</t>
  </si>
  <si>
    <t>Practical Name: Gas volume demo
Practical Type: Demonstration
Equipment Required:
Conical flask, bung, connecting tube, gas syringe, clamp &amp; stand, spatula
Chemicals Required:
Calcium carbonate, 50 cm³ HCl
Magnesium ribbon works better
Safety Notes:
Eye protection; HCl irritant</t>
  </si>
  <si>
    <t>Wear eye protection.
Hydrochloric acid is an irritant, avoid contact with skin.</t>
  </si>
  <si>
    <t>Lesson 44   — Limiting Reagents and Gas Volumes
Specification Points:
1.29 calculate reacting masses using experimental data and chemical equations
1.35C understand how to carry out calculations involving gas volumes and the molar volume of a gas (24 dm3 and 24 000 cm3 at room temperature and pressure (rtp))
Pages 58–59 and 64–67
Requisitions:
Practical Name: Gas volume demo
Practical Type: Demonstration
Equipment Required:
Conical flask, bung, connecting tube, gas syringe, clamp &amp; stand, spatula
Chemicals Required: 
Calcium carbonate, 50 cm³ HCl
Magnesium ribbon works better
Safety Notes: 
Eye protection; HCl irritant
Notes:
Wear eye protection.
Hydrochloric acid is an irritant, avoid contact with skin.</t>
  </si>
  <si>
    <t>• explain that the mass of a product formed in a reaction is controlled by the mass of reactant that is not in excess
• describe the molar volume of any gas at room temperature and pressure as the volume occupied by one mole of molecules of any gas at room temperature and pressure
• use the molar volume in calculations involving solids and gases in reactions.</t>
  </si>
  <si>
    <t>• excess: having more than enough of a reactant to react with all of something else
• limiting reagent: the reactant that is completely used up during a reaction
• molar gas volume: the volume occupied by one mole of a gas</t>
  </si>
  <si>
    <t>Concentration Calculations</t>
  </si>
  <si>
    <t>1.34C understand how to carry out calculations involving amount of substance, volume, and  concentration (in mol/dm3) of solution</t>
  </si>
  <si>
    <t>Pages 66–71</t>
  </si>
  <si>
    <t>Lesson 45   — Concentration Calculations
Specification Points:
1.34C understand how to carry out calculations involving amount of substance, volume, and  concentration (in mol/dm3) of solution
Pages 66–71
Requisitions:
Practical Name: No practical work
Practical Type: N/A
Equipment Required:
N/A
Chemicals Required: 
N/A
Safety Notes: 
N/A</t>
  </si>
  <si>
    <t>• state the meaning of the term &amp;lsquo;concentration&amp;rsquo;
• calculate concentration in g/dm³ and mol/dm³
• calculate amount of substance, volume, and concentration (in mol/dm³) of solution.</t>
  </si>
  <si>
    <t>• mass concentration = \(\frac{\mathrm{mass}\;\mathrm{of}\;\mathrm a\;\mathrm{solute}}{\mathrm{volume}\;\mathrm{of}\;\mathrm{solution}}(\mathrm g/\mathrm{dm}^3)\)
• molar concentration = \(\frac{\mathrm{moles}\;\mathrm{of}\;\mathrm a\;\mathrm{solute}}{\mathrm{volume}\;\mathrm{of}\;\mathrm{solution}}(\mathrm{mol}/\mathrm{dm}^3)\)</t>
  </si>
  <si>
    <t>**Teaching session 2** Reacting volumes Worked example 1 What volume of 3.00 mol/dm³ NaOH reacts fully with 25.0 cm³ of 0.750 mol/dm³ H₂SO₄ ? 2NaOH(aq) + H₂SO₄ (aq) → Na₂ SO₄ (aq) + 2H
2. O(l) Worked example 1 What volume of 3.00 mol/dm³ NaOH reacts fully with 25.0 cm³ of 0.750 mol/dm³ H₂SO₄ ? 2NaOH(aq) + H₂SO₄ (aq) → Na₂ SO₄ (aq) + 2H
2. O(l) Answer The volume and concentration of H₂SO₄ are present in the question, so this is the starting point. The volume needs to be converted into dm³ . Step 1: moles = concentration × volume moles of H₂SO₄ = 0.750 × 0.025 = 0.01875 mol Note that this answer is not to 3 significant figures – until the final answer, all answers should be kept as full calculator values. Worked example 1 What volume of 3.00 mol/dm³ NaOH reacts fully with 25.0 cm³ of 0.750 mol/dm³ H₂SO₄ ? 2NaOH(aq) + H₂SO₄ (aq) → Na₂ SO₄ (aq) + 2H
2. O(l) Answer Now the moles of H₂SO₄ are known, together with the information about the ratio of NaOH : H₂SO₄ , the moles of NaOH can be calculated. Step 2: 2NaOH(aq) + H₂SO₄ (aq) → Na₂ SO₄ (aq) + 2H
2. O(l) NaOH : H₂SO₄ 2 : 1 0.0375 : 0.01875 × 2 Worked example 1 What volume of 3.00 mol/dm³ NaOH reacts fully with 25.0 cm³ of 0.750 mol/dm³ H₂SO₄ ? 2NaOH(aq) + H₂SO₄ (aq) → Na₂ SO₄ (aq) + 2H
2. O(l) Answer Now the moles of NaOH are known, the volume of NaOH can be determined. Step 3: volume = moles ÷ concentration volume of NaOH = 0.0375 ÷ 3.0 = 0.0125 dm³ The volume of H₂SO₄ was given in cm³ , so give your final answer in cm³ also: volume of NaOH = 0.0125 dm³ = 12.5 cm³ Worked example 2 50.0 cm³ of 0.10⁰ mol/dm³ hydrochloric acid neutralises 25.0 cm³ of barium hydroxide solution fully. Find the concentration of the barium hydroxide solution. Ba(OH) 2. (aq) + 2HCl(aq) → BaCl 2. (aq) + 2H
2. O(l) Answer</t>
  </si>
  <si>
    <t>Core Practical – Empirical Formula</t>
  </si>
  <si>
    <t>1.33 calculate empirical and molecular formulae from experimental data
1.32 know what is meant by the terms: empirical formula and molecular formula
1.36 practical: know how to determine the formula of a metal oxide by combustion (e.g. magnesium oxide) or by reduction (e.g., copper(II) oxide)
1.31 understand how the formulae of simple compounds can be obtained experimentally, including metal oxides, water and salts containing water of crystallisation</t>
  </si>
  <si>
    <t>Pages 46–50
Lab Book: Pages 8–12</t>
  </si>
  <si>
    <t>Practical Name: Combustion/reduction
Practical Type: Student practical
Equipment Required:
Crucible, pipeclay triangle, tripod, Bunsen, tongs, balance
Chemicals Required:
Magnesium ribbon, copper(II) oxide
Safety Notes:
Eye protection; hot apparatus</t>
  </si>
  <si>
    <t>Wear eye protection.
Take care with hot apparatus. Do not touch hot equipment directly. Use tongs or heat-proof mats.</t>
  </si>
  <si>
    <t>Lesson 46  — Core Practical – Empirical Formula
Specification Points:
1.33 calculate empirical and molecular formulae from experimental data
1.32 know what is meant by the terms: empirical formula and molecular formula
1.36 practical: know how to determine the formula of a metal oxide by combustion (e.g. magnesium oxide) or by reduction (e.g., copper(II) oxide)
1.31 understand how the formulae of simple compounds can be obtained experimentally, including metal oxides, water and salts containing water of crystallisation
Pages 46–50
Lab Book: Pages 8–12
Requisitions:
Practical Name: Combustion/reduction
Practical Type: Student practical
Equipment Required:
Crucible, pipeclay triangle, tripod, Bunsen, tongs, balance
Chemicals Required: 
Magnesium ribbon, copper(II) oxide
Safety Notes: 
Eye protection; hot apparatus
Notes:
Wear eye protection.
Take care with hot apparatus. Do not touch hot equipment directly. Use tongs or heat-proof mats.</t>
  </si>
  <si>
    <t>• calculate the empirical formula of a compound from the masses of the elements it contains
• explain the difference between an empirical formula and a molecular formula
• deduce the empirical formula from a molecular formula, and the molecular formula for a compound from its empirical formula and its relative formula mass
• describe an experiment to determine the empirical formula for a compound
• understand how the formulae of simple compounds can be obtained experimentally, including metal oxides.</t>
  </si>
  <si>
    <t>• empirical formula: gives the simplest whole number ratio of the atoms of each element present in a compound. It can be worked out from experimental data
• molecular formula: shows the actual number of each type of atom present in a molecule (covalent compound) or formula unit (ionic compound)</t>
  </si>
  <si>
    <t>Acids, Alkalis, and Indicators</t>
  </si>
  <si>
    <t>2.28 describe the use of litmus, phenolphthalein, and methyl orange to distinguish between acidic and alkaline solutions
2.31 know that acids in aqueous solution are a source of hydrogen ions and alkalis in a aqueous solution are a source of hydroxide ions</t>
  </si>
  <si>
    <t>Pages 167–170</t>
  </si>
  <si>
    <t>Practical Name: Student practical: The colours of indicators (found in Student work 1)
Practical Type: Student
Equipment Required:
eye protection
8 test tubes
test-tube rack
white tile
Chemicals Required:
0.1 mol/dm³ hydrochloric acid labelled ‘solution X’
0.1 mol/dm³ sodium hydroxide labelled ‘solution Y’
universal indicator
litmus
methyl orange
phenolphthalein
Safety Notes:
Wear eye protection at all times (sodium hydroxide is corrosive).
Wipe up spills as soon as possible. Care is required with some indicators, which are highly flammable.</t>
  </si>
  <si>
    <t>Wear eye protection at all times (sodium hydroxide is corrosive).
Wipe up spills as soon as possible. Care is required with some indicators, which are highly flammable.
Handle glassware carefully. Report any breakages to the teacher immediately.
flammable; keep away from flames (and sources
corrosive; wear gloves and safety glasses (wash</t>
  </si>
  <si>
    <t>Lesson 49  — Acids, Alkalis, and Indicators
Specification Points:
2.28 describe the use of litmus, phenolphthalein, and methyl orange to distinguish between acidic and alkaline solutions
2.31 know that acids in aqueous solution are a source of hydrogen ions and alkalis in a aqueous solution are a source of hydroxide ions
Pages 167–170
Requisitions:
Practical Name: Student practical: The colours of indicators (found in Student work 1)
Practical Type: Student
Equipment Required:
eye protection
8 test tubes
test-tube rack
white tile
Chemicals Required: 
0.1 mol/dm3 hydrochloric acid labelled ‘solution X’
0.1 mol/dm3 sodium hydroxide labelled ‘solution Y’
universal indicator
litmus
methyl orange
phenolphthalein
Safety Notes: 
Wear eye protection at all times (sodium hydroxide is corrosive).
Wipe up spills as soon as possible. Care is required with some indicators, which are highly flammable.
Notes:
Wear eye protection at all times (sodium hydroxide is corrosive).
Wipe up spills as soon as possible. Care is required with some indicators, which are highly flammable.
Handle glassware carefully. Report any breakages to the teacher immediately.</t>
  </si>
  <si>
    <t>• describe how an indicator can be used to identify whether a solution is acidic, alkaline or neutral
• state the acidic, neutral, and alkaline colours for litmus, phenolphthalein and methyl orange
• state that acidic substances release hydrogen ions when in solution
• state that alkaline substances release hydroxide ions when in solution.</t>
  </si>
  <si>
    <t>• acid: a substance that acts as a source of hydrogen ions in solution or as a proton donor
• alkali: a soluble base that acts as a source of hydroxide ions in solution or as a proton acceptor
• base: a substance that neutralises acids by combining with the hydrogen ions in them
• indicator: a substance that has different colours depending on the pH
• neutral: a substance with a pH value of 7</t>
  </si>
  <si>
    <t>**Teaching session 2**
**Teaching session 1**
Indicators
The pH scale
The acidity or alkalinity of a solution is measured on the
pH scale.
Universal indicator
Universal indicator is the most common indicator used in
schools and can be either a solution or small pieces of
paper.
Other indicators
It is possible to use any substance which changes colours in
solutions of different pH as an indicator.
Question
The student in the photograph is using universal indicator.
The red colour indicates a pH of 1.
Is the solution acidic, alkaline, or neutral?
Answer
acidic
What colour would this solution turn:
a
litmus?
Answer
red
b
methyl orange?
Answer
pink/red
c
phenolphthalein?
Answer
colourless</t>
  </si>
  <si>
    <t xml:space="preserve">Lesson 50 </t>
  </si>
  <si>
    <t>The pH Scale</t>
  </si>
  <si>
    <t>2.29 understand how the pH scale, from 0-14, can be used to classify solutions as strongly acidic (0-3), weakly acidic (4-6), neutral (7), weakly alkaline (8-10) and strongly alkaline (11-14)
2.30 describe the use of universal indicator to measure the approximate pH value of an aqueous solution
2.31 know that acids in aqueous solution are a source of hydrogen ions and alkalis in aqueous solution are a source of hydroxide ions</t>
  </si>
  <si>
    <t>Pages 167–169</t>
  </si>
  <si>
    <t>Practical Name: Testing substances (found in Student work 1)
Practical Type: Student
Equipment Required:
eye protection
8 test tubes
test-tube rack
white tile
Chemicals Required:
universal indicator or indicator paper
8 samples of household solutions (e.g., bleach (0.1 mol/dm³ sodium hydroxide), indigestion remedy, surface cleaner, salt solution, alcohol solution, vinegar, fruit juice, battery fluid (1.5 mol/dm³ sulfuric acid)). Solutions should be labelled.
Safety Notes:
N/A</t>
  </si>
  <si>
    <t>Wear eye protection at all times (sodium hydroxide and sulfuric acid are corrosive at these concentrations).
Wipe up spills as soon as possible.
Take care with electrical equipment. Do not connect circuits to mains. Switch off power before changing connections.
Handle glassware carefully. Report any breakages to the teacher immediately.
state the pH values for strong and weak acids and alkalis
acidic or alkaline a substance is
Is the solution acidic, alkaline or neutral?
Strong acids include hydrochloric acid, sulfuric acid
and nitric acid.
Weak acids include ethanoic acid (vinegar).
Weak alkalis include ammonia.
Strong alkalis include sodium hydroxide and potassium
Neutral substances are neither acidic or alkaline and
Acidic substances have a pH from 0 to 6. The weakest
acidic substance is pH 6. As pH decreases, acidity
acid.
Alkaline substances have a pH from 8 to 14. The weakest
alkaline substance is pH 8. As pH increases, alkalinity
alkali.
10, the pH decreases by 1 (becomes more acidic).
If the pH increases by 1 (becomes less acidic), the</t>
  </si>
  <si>
    <t>Lesson 50 — The pH Scale
Specification Points:
2.29 understand how the pH scale, from 0-14, can be used to classify solutions as strongly acidic (0-3), weakly acidic (4-6), neutral (7), weakly alkaline (8-10) and strongly alkaline (11-14)
2.30 describe the use of universal indicator to measure the approximate pH value of an aqueous solution
2.31 know that acids in aqueous solution are a source of hydrogen ions and alkalis in aqueous solution are a source of hydroxide ions
Pages 167–169
Requisitions:
Practical Name: Testing substances (found in Student work 1)
Practical Type: Student
Equipment Required:
eye protection
8 test tubes
test-tube rack
white tile
Chemicals Required: 
universal indicator or indicator paper
8 samples of household solutions (e.g., bleach (0.1 mol/dm3 sodium hydroxide), indigestion remedy, surface cleaner, salt solution, alcohol solution, vinegar, fruit juice, battery fluid (1.5 mol/dm3 sulfuric acid)). Solutions should be labelled.
Safety Notes: 
N/A
Notes:
Wear eye protection at all times (sodium hydroxide and sulfuric acid are corrosive at these concentrations).
Wipe up spills as soon as possible.
Take care with electrical equipment. Do not connect circuits to mains. Switch off power before changing connections.
Handle glassware carefully. Report any breakages to the teacher immediately.</t>
  </si>
  <si>
    <t>• state that solutions may have different concentrations of hydrogen ions
• describe how the concentration of hydrogen ions is measured on the pH scale
• state that the higher the concentration of hydrogen ions, the lower the pH
• state the pH values for strong and weak acids and alkalis and for neutral solutions
• describe how to use universal indicator experimentally to find pH.</t>
  </si>
  <si>
    <t>• dilute: a low concentration of a solute in a solution
• pH scale: a scale used to measure how acidic or alkaline a substance is</t>
  </si>
  <si>
    <t>**Teaching session 1**
Slideshow: The pH scale
Worksheet 1
Worksheet 2: Practical method
**Teaching session 1**
Worksheet 2: Practical
 method
**Teaching session 2**
Hydrogen ion concentration and the pH scale
The pH of a solution is a measure of the hydrogen ion
 concentration.
If the hydrogen ion concentration increases by a factor of
 10, the pH decreases by 1 (becomes more acidic).
If the pH increases by 1 (becomes less acidic), the
 hydrogen ion concentration decreases by a factor of 10.
Neutral solutions, such as pure water, have a pH of 7
 and contain low, equal, concentrations of hydrogen and
 hydroxide ions.
Concentration</t>
  </si>
  <si>
    <t>Neutralisation</t>
  </si>
  <si>
    <t>2.32 know that alkalis can neutralise acids</t>
  </si>
  <si>
    <t>Pages 170–172</t>
  </si>
  <si>
    <t>Practical Name: Student practical: Neutralising an acid (found in Student work 1)
Practical Type: Student
Equipment Required:
spatula
stirring rod
white tile
pH colour chart
graph paper
Chemicals Required:
eye protection
10⁰ cm³ beaker
50 cm³ measuring cylinder
±0.1 g top pan balance
universal indicator paper
dilute hydrochloric acid
calcium hydroxide powder
Safety Notes:
N/A</t>
  </si>
  <si>
    <t>Eye protection should be worn.
Calcium hydroxide is an irritant, with a risk of serious damage to eyes.
Dilute hydrochloric acid is an irritant.</t>
  </si>
  <si>
    <t>Lesson 51  — Neutralisation
Specification Points:
2.32 know that alkalis can neutralise acids
Pages 170–172
Requisitions:
Practical Name: Student practical: Neutralising an acid (found in Student work 1)
Practical Type: Student
Equipment Required:
spatula
stirring rod
white tile
pH colour chart
graph paper
Chemicals Required: 
eye protection
100 cm3 beaker
50 cm3 measuring cylinder
±0.1 g top pan balance
universal indicator paper
dilute hydrochloric acid
calcium hydroxide powder
Safety Notes: 
N/A
Notes:
Eye protection should be worn.
Calcium hydroxide is an irritant, with a risk of serious damage to eyes.
Dilute hydrochloric acid is an irritant.</t>
  </si>
  <si>
    <t>• state that alkalis can neutralise acids
• explain why the solution of a salt and water is neutral
• state that the reaction between alkalis and acids is called neutralisation
• write ionic equations for neutralisation.</t>
  </si>
  <si>
    <t>• ionic equation: shows only the ions taking part in a reaction
• neutralisation: a chemical reaction in which acids react with bases or alkalis to produce salts</t>
  </si>
  <si>
    <t>**Teaching session 1**
questions</t>
  </si>
  <si>
    <t>Concentration and Water of Crystallisation</t>
  </si>
  <si>
    <t>1.34C understand how to carry out calculations involving amount of substance, volume, and concentration (in mol/dm3) of solution
1.31 understand how the formulae of simple compounds can be obtained experimentally, including salts containing water of crystallisation</t>
  </si>
  <si>
    <t>Pages 67–69 and 170–172</t>
  </si>
  <si>
    <t>Practical Name: N/A
Practical Type: N/A
Equipment Required:
N/A
Chemicals Required:
N/A
Safety Notes:
N/A</t>
  </si>
  <si>
    <t>Lesson 52  — Concentration and Water of Crystallisation
Specification Points:
1.34C understand how to carry out calculations involving amount of substance, volume, and concentration (in mol/dm3) of solution
1.31 understand how the formulae of simple compounds can be obtained experimentally, including salts containing water of crystallisation
Pages 67–69 and 170–172
Requisitions:
Practical Name: N/A
Practical Type: N/A
Equipment Required:
N/A
Chemicals Required: 
N/A
Safety Notes: 
N/A</t>
  </si>
  <si>
    <t>• recall the meaning of the term ‘mole’
• convert between volume measurements in cm³ and dm³
• calculate the concentration of an acid neutralising an alkali of known concentration and vice-versa
• explain how the formulae of simple compounds can be obtained experimentally, including salts containing water of crystallisation.</t>
  </si>
  <si>
    <t>• hydrated: containing water
• water of crystallisation: water molecules that are part of a crystal structure in which they are chemically bound up with a salt; they are represented by .xH2O in the formulae of compounds, for example CuSO4.5H2O means there are five water molecules associated with each CuSO4 unit</t>
  </si>
  <si>
    <t>**Teaching session 1**
Concentration
Concentrations in g/dm³
The concentration of a solution is the amount of solute dissolved in a particular
volume of solution.
The formula used to calculate the concentration of a solution is:
Concentrations in g/dm³
– calculations
Calculate the concentration of a sodium hydroxide solution which is made with a
mass of 0.55 g sodium hydroxide in 125 cm³
of water.
Calculate the mass of copper chloride in 10⁰ cm³
of a solution of
concentration 20 g/dm³
.
Calculate the volume of magnesium nitrate solution that contains 6.5 g of
magnesium nitrate with a concentration of 1.5 g/dm³
. Give your answer
in cm³
.
Concentrations in g/dm³
– calculations: answers
Calculate the concentration of a sodium hydroxide solution which is made with a
mass of 0.55 g sodium hydroxide in 125 cm³
of water.
Answer: 4.4 g/dm³
Remember to convert cm³
to dm³
by dividing by 1000:
125 ÷ 1000 = 0.125 dm³
Concentration = mass ÷ volume = 0.55 g ÷ 0.125 dm³
=
4.4 g/dm³
Calculate the mass of copper chloride in 10⁰ cm³
of a solution of
concentration 20 g/dm³
.
Answer: 2 g
Remember to convert cm³
to dm³
: 10⁰ ÷ 1000 =
0.10⁰ dm³
Mass = concentration × volume = 0.10⁰ × 20
Calculate the volume of magnesium nitrate solution that contains 6.5 g of
magnesium nitrate with a concentration of 1.5 g/dm³
. Give your answer
in cm³
.
Answer: 4330 cm³
Volume = mass ÷ concentration = 6.5 g ÷ 1.5 g/dm³
=
4.33 dm³
Remember to convert dm³
to cm³
by multiplying by 1000.
Concentrations in mol/dm³
For concentration calculations which involve moles, the unit for concentration
changes from g/dm³
to mol/dm³
.
\(\;concentration\;(mol/dm^3)=\frac{number\;of\;moles\;of\;solute\;(mol)}{volume\;of\;solution\;(dm^3)}\)
Concentrations in mol/dm³
– calculations
Calculate the concentration, in mol/dm³
, of 1 mol of sodium sulfate
in 2.0 dm³
of solution.
Calculate the number of moles of copper chloride in 10⁰ cm³
of a
solution of concentration \(0.50 \mathrm{mol/dm}^{3}\).
Calculate the concentration, in mol/dm³
, of sulfuric acid with a
concentration of 196 g/dm³
.
Concentrations in mol/dm³
– calculations – answers
Calculate the concentration, in mol/dm³
, of 1 mol of sodium sulfate
in 2.0 dm³
of solution.
Answer: 0.5 mol/dm³
Con</t>
  </si>
  <si>
    <t>Reactions of Acids</t>
  </si>
  <si>
    <t>2.35 understand acids and bases in terms of proton transfer 
2.36 understand that an acid is a proton donor, and a base is a proton acceptor
2.37 describe the reactions of hydrochloric acid, sulfuric acid and nitric acid with metals, bases, and metal carbonates (excluding the reactions between nitric acid and metals) to form salts</t>
  </si>
  <si>
    <t>Pages 167–170, 173–174 and 191</t>
  </si>
  <si>
    <t>Practical Name: Demonstration practical: Gas test for hydrogen (found in Student work 2)
Practical Type: Demo
Equipment Required:
eye protection
test tube
test-tube rack
tongs
wooden splint
Bunsen burner
heat-resistant mat
Chemicals Required:
1 mol/dm³ hydrochloric acid
magnesium ribbon (approx. 5 cm)
Safety Notes:
Wear eye protection at all times.
Ensure the laboratory is well ventilated.</t>
  </si>
  <si>
    <t>• Wear eye protection at all times.
• Ensure the laboratory is well ventilated.
• Wear eye protection at all times.
• Ensure the laboratory is well ventilated.
• Wear eye protection at all times.
• Ensure the laboratory is well ventilated.</t>
  </si>
  <si>
    <t>Lesson 53 — Reactions of Acids
Specification Points:
2.35 understand acids and bases in terms of proton transfer 
2.36 understand that an acid is a proton donor, and a base is a proton acceptor
2.37 describe the reactions of hydrochloric acid, sulfuric acid and nitric acid with metals, bases, and metal carbonates (excluding the reactions between nitric acid and metals) to form salts
Pages 167–170, 173–174 and 191
Requisitions:
Practical Name: Demonstration practical: Gas test for hydrogen (found in Student work 2)
Practical Type: Demo
Equipment Required:
eye protection
test tube
test-tube rack
tongs
wooden splint
Bunsen burner
heat-resistant mat
Chemicals Required: 
1 mol/dm3 hydrochloric acid
magnesium ribbon (approx. 5 cm)
Safety Notes: 
Wear eye protection at all times.
Ensure the laboratory is well ventilated.
Notes:
Wear eye protection at all times.
Ensure the laboratory is well ventilated.
Take care with hot apparatus. Do not touch hot equipment directly. Use tongs or heat-proof mats.
Carry out this work in a fume cupboard or well-ventilated area.
Handle glassware carefully. Report any breakages to the teacher immediately.</t>
  </si>
  <si>
    <t>• state that acids release H+ ions and that bases accept H+&amp;nbsp;ions
• describe how acids transfer H+ ions to bases
• state the general reactions for acids with metals, bases and carbonates
• state that hydrochloric acid forms chloride salts, sulfuric acid forms sulfate salts and nitric acid forms nitrate salts.</t>
  </si>
  <si>
    <t>• acid: a substance that acts as a source of hydrogen ions in solution or as a proton donor
• alkali: a soluble base that acts as a source of hydroxide ions in solution or as a proton acceptor
• base: a substance that will react with an acid to form only salt and water
• indicator: a substance that has different colours depending on the pH
• neutral: a substance with a pH value of 7
• proton: a positively charged particle found in the nucleus of an atom
• reactivity series: a list of metals in order of reactivity, with the most reactive metal at the top</t>
  </si>
  <si>
    <t>1. Add about 5 cm³ of 1 mol/dm³ hydrochloric acid to a test tube.
2. Add a small piece of magnesium ribbon (approximately 5 cm) to the tube.
3. Using tongs, hold the tube at an angle of about 45°.
4. Hold a burning splint to the mouth of the test tube.
5. The hydrogen will combust with a ‘squeaky pop’.
6. After waiting about 20 to 30 seconds, steps 4 and 5 can be repeated.
1. Add about 5 cm³ of 1 mol/dm³ hydrochloric acid to a boiling tube.
2. Add a few small marble chips (calcium carbonate) to the tube.
3. Attach a rubber bung with a delivery tube.
4. Place the delivery tube into a test tube half-filled with limewater.
5. The limewater will turn cloudy if carbon dioxide is present.</t>
  </si>
  <si>
    <t xml:space="preserve">Lesson 54 </t>
  </si>
  <si>
    <t>Reactions of Bases</t>
  </si>
  <si>
    <t>2.35 understand acids and bases in terms of proton transfer
2.36 understand that an acid is a proton donor, and a base is a proton acceptor
2.37 describe the reactions of hydrochloric acid, sulfuric acid and nitric acid with metals, bases, and metal carbonates (excluding the reactions between nitric acid and metals) to form salts
2.38 know that metal oxides, metal hydroxides and ammonia can act as bases, and that alkalis are bases that are soluble in water</t>
  </si>
  <si>
    <t>Pages 176–177 and 185–187</t>
  </si>
  <si>
    <t>Video: Acids, alkalis and bases song
Slideshow: Recapping acids and alkalis: answers
Slideshow: Bases and alkalis
Slideshow: Reactions of bases and alkalis with acid
explain how a base neutralises an acid to make a salt and water
state that alkalis are bases that dissolve in water
state the general reactions for metal oxides, metal hydroxide and ammonia with acids.
: a substance that will react with an acid to form only salt and water
: a chemical reaction in which acids react with bases or alkalis to produce salts
Recapping acids and alkalis: answers
An alkali is an insoluble base; not all alkalis are
bases, but all bases are alkalis.
new definitions for acids and bases after Arrhenius.
a solution, the weaker the acid the higher the pH value.
Acids donate protons and bases accept protons.
Bases and alkalis
A base is any substance that reacts with an acid to
The general equation for the reaction of a base with an acid is:
acid + base
Reactions of bases and alkalis with acid
Metal oxides and acids
acid + base → salt + water
base and water the acid. This is shown in the example below of potassium oxide:
Metal hydroxides and acids
acid + alkali → salt + water
Ammonia and acid
The diagram shows the proton (hydrogen ion) being transferred from the hydrochloric (HCl) acid to
HCl donates a proton, so it is the acid.</t>
  </si>
  <si>
    <t>Lesson 54 — Reactions of Bases
Specification Points:
2.35 understand acids and bases in terms of proton transfer
2.36 understand that an acid is a proton donor, and a base is a proton acceptor
2.37 describe the reactions of hydrochloric acid, sulfuric acid and nitric acid with metals, bases, and metal carbonates (excluding the reactions between nitric acid and metals) to form salts
2.38 know that metal oxides, metal hydroxides and ammonia can act as bases, and that alkalis are bases that are soluble in water
Pages 176–177 and 185–187
Requisitions:
Practical Name: N/A
Practical Type: N/A
Equipment Required:
N/A
Chemicals Required: 
N/A
Safety Notes: 
N/A</t>
  </si>
  <si>
    <t>• explain how a base neutralises an acid to make a salt and water
• state that alkalis are bases that dissolve in water
• state the general reactions for metal oxides, metal hydroxide and ammonia with acids.</t>
  </si>
  <si>
    <t>• acid: a substance that acts as a source of hydrogen ions in solution or as a proton donor
• alkali: a soluble base that acts as a source of hydroxide ions in solution or as a proton acceptor
• base: a substance that will react with an acid to form only salt and water
• neutralisation: a chemical reaction in which acids react with bases or alkalis to produce salts
• proton: a positively charged particle found in the nucleus of an atom</t>
  </si>
  <si>
    <t>Core Practical – Preparing Soluble Salts</t>
  </si>
  <si>
    <t>2.39 describe an experiment to prepare a pure, dry sample of a soluble salt, starting from an insoluble reactant
2.42 practical: prepare a sample of pure, dry hydrated copper(II) sulfate crystals starting from copper(II) oxide</t>
  </si>
  <si>
    <t>Pages 176–180 and 185–187
Lab Book: Pages 20–22</t>
  </si>
  <si>
    <t>Practical Name: Copper(II) sulfate preparation
Practical Type: Student practical
Equipment Required:
Beaker, filter funnel &amp; paper, evaporating basin, Bunsen, tripod, gauze
Chemicals Required:
Copper(II) oxide, sulfuric acid
Safety Notes:
Eye protection; acid irritant
Additional equipment (lesson resources):
10⁰ cm³ conical flask
10⁰ cm³ measuring cylinder
clamp, stand and boss
filter paper
glass rod
heat-resistant mat
Petri dish or watch glass
spatula
stirring rod
tongs
tweezers
water bath (set at 50 °C)</t>
  </si>
  <si>
    <t>Wear eye protection
Take care with hot apparatus. Do not touch hot equipment directly. Use tongs or heat-proof mats.</t>
  </si>
  <si>
    <t>Lesson 55  — Core Practical – Preparing Soluble Salts
Specification Points:
2.39 describe an experiment to prepare a pure, dry sample of a soluble salt, starting from an insoluble reactant
2.42 practical: prepare a sample of pure, dry hydrated copper(II) sulfate crystals starting from copper(II) oxide
Pages 176–180 and 185–187
Lab Book: Pages 20–22
Requisitions:
Practical Name: Copper(II) sulfate preparation
Practical Type: Student practical
Equipment Required:
Beaker, filter funnel &amp; paper, evaporating basin, Bunsen, tripod, gauze
Chemicals Required: 
Copper(II) oxide, sulfuric acid
Safety Notes: 
Eye protection; acid irritant
Additional equipment (lesson resources):
100 cm³ conical flask
100 cm³ measuring cylinder
clamp, stand and boss
filter paper
glass rod
heat-resistant mat
Petri dish or watch glass
spatula
stirring rod
tongs
tweezers
water bath (set at 50 °C)
Notes:
Wear eye protection
Take care with hot apparatus. Do not touch hot equipment directly. Use tongs or heat-proof mats.</t>
  </si>
  <si>
    <t>• select the correct insoluble reactant and acid to make a named soluble salt
• describe the experimental procedure to make a soluble salt from a base
• explain the steps used in the method
• describe how to make pure, dry crystals from a solution.</t>
  </si>
  <si>
    <t>• acid: a substance that acts as a source of hydrogen ions in solution or as a proton donor
• alkali: a soluble base that acts as a source of hydroxide ions in solution or as a proton acceptor
• base: a substance that will react with an acid to form only salt and water
• indicator: a substance that has different colours depending on the pH
• neutral: a substance with a pH value of 7
• proton: a positively charged particle found in the nucleus of an atom</t>
  </si>
  <si>
    <t>Preparing a Soluble Salt by Titration</t>
  </si>
  <si>
    <t>2.33C describe how to carry out an acid-alkali titration
2.40C describe an experiment to prepare a pure, dry sample of a soluble salt, starting from an acid and alkali</t>
  </si>
  <si>
    <t>Pages 181–182</t>
  </si>
  <si>
    <t>Practical Name: Acid-alkali titration
Practical Type: Student practical
Equipment Required:
Burette, pipette, conical flask, white tile, indicator
Chemicals Required:
HCl, NaOH, indicator
Safety Notes:
Eye protection; acids/alkalis irritants
Additional equipment (lesson resources):
10⁰ cm³ beaker
250 cm³ beaker
funnel
stand, boss and clamp
dilute hydrochloric acid
dilute sodium hydroxide solution</t>
  </si>
  <si>
    <t>Wear eye protection.
Place the burette no higher than eye level when you fill it. Do not overfill the burette.
Dilute hydrochloric acid is an irritant.
Add the acid drop by drop until the endpoint is reached. Be careful not to go</t>
  </si>
  <si>
    <t>Lesson 56  — Preparing a Soluble Salt by Titration
Specification Points:
2.33C describe how to carry out an acid-alkali titration
2.40C describe an experiment to prepare a pure, dry sample of a soluble salt, starting from an acid and alkali
Pages 181–182
Requisitions:
Practical Name: Acid-alkali titration
Practical Type: Student practical
Equipment Required:
Burette, pipette, conical flask, white tile, indicator
Chemicals Required: 
HCl, NaOH, indicator
Safety Notes: 
Eye protection; acids/alkalis irritants
Additional equipment (lesson resources):
100 cm³ beaker
250 cm³ beaker
funnel
stand, boss and clamp
dilute hydrochloric acid
dilute sodium hydroxide solution
Notes:
Wear eye protection.
Place the burette no higher than eye level when you fill it. Do not overfill the burette.
Dilute hydrochloric acid is an irritant.</t>
  </si>
  <si>
    <t>• select the correct acid and alkali to make a named soluble salt
• describe the experimental procedure of titration
• explain the steps used in the method to get concordant results
• state how to use the titration results to prepare a pure solution of the salt.</t>
  </si>
  <si>
    <t>• burette: a piece of apparatus used to accurately measure the volume of solution that has been added during a titration
• concordant titres: titres that are close together (usually within 0.10&amp;thinsp;cm³ of each other)
• endpoint: the point at which the indicator just changes colour
• meniscus: the curving of the upper surface of a liquid in a container; measurements are taken at the lowest (horizontal) part of the meniscus
• pipette: a piece of apparatus used to measure and deliver a known volume of a solution
• titration: a technique in volumetric analysis used to find the exact volume of solutions that react with each other
• titre: the volume added from the burette during a titration</t>
  </si>
  <si>
    <t>**Teaching session**
titration
**Teaching session**
Making sodium chloride by titration
Titration step 1
Rinse a burette with hydrochloric acid to remove any impurities.
Fill the burette with the acid, making sure the jet below the tap is also full.
Tap the burette to remove any bubbles of air.
Record the initial volume of acid in the burette.
The liquid in the burette will curve. Measurements are always taken at the
lowest
(horizontal) part of this curve, which is called the
meniscus
.
Titration step 2
Rinse a pipette with sodium hydroxide solution to remove any impurities.
Rinse a conical flask with distilled water.
Fill the pipette to the 25.0 cm³
mark and empty the solution
into the clean conical flask.
Add a few drops of indicator to the flask. In the example, methyl orange is
being used.
Place the flask on a white tile under the burette. A white tile is used to make
it easier to see any colour change during the titration.
Titration step 3
Add the acid to the sodium hydroxide solution while swirling the flask.
When the indicator starts to change colour, rinse the tip of the burette and the
sides of the flask with a small amount of distilled water from a wash bottle to
ensure that all the acid is in the mixture.
Add the acid drop by drop until the endpoint is reached. Be careful not to go
past the endpoint of the reaction.
Titration step 4
Record the final volume of acid in the burette.
In the example shown, the initial volume of acid in the burette shown is
0.20 cm³
and the final burette reading is 22.20 cm³
. This
means the total acid used in the titration is 22.00 cm³
(22.20 cm³
– 0.20 cm³
=
22.00 cm³
).
Repeat the experiment, apart from the initial rinsing of the burette and
pipette, until
concordant
results are obtained. Concordant
results are results which are very close together.
**Teaching session**
Practical method</t>
  </si>
  <si>
    <t>Core Practical – Preparing Insoluble Salts</t>
  </si>
  <si>
    <t>2.34	know the general rules for predicting the solubility of ionic compounds in water:
• common sodium, potassium and ammonium compounds are soluble
• all nitrates are soluble
• common chlorides are soluble, except those of silver and lead(II)
• common sulfates are soluble, except for those of barium, calcium and lead(II) 
• common carbonates are insoluble, except for those of sodium, potassium and ammonium 
• common hydroxides are insoluble except for those of sodium, potassium and calcium (calcium hydroxide is slightly soluble)
2.41C describe an experiment to prepare a pure, dry sample of an insoluble salt, starting from two soluble reactants
2.43C practical: prepare a sample of pure, dry lead(II) sulfate</t>
  </si>
  <si>
    <t>Student Book pages 183–185
Lab Book: Page 23</t>
  </si>
  <si>
    <t>Practical Name: Lead(II) sulfate preparation
Practical Type: Student practical
Equipment Required:
Beakers, filter funnel &amp; paper, wash bottle
Chemicals Required:
Lead(II) nitrate, sodium sulfate
Safety Notes:
Eye protection; lead compounds toxic
Additional equipment (lesson resources):
disposable gloves</t>
  </si>
  <si>
    <t>• Eye protection, disposable gloves and a safety mask should be worn when doing the demonstration.
• The demonstration should be carried out in a fume cupboard.
• Potassium chromate(VI) is toxic and dangerous for the environment. It is a category 2 carcinogen and a category 2 mutagen. It may cause cancer by inhalation and may cause heritable genetic damage.
• The technician must wear gloves when making up the potassium chromate solution and use a fume cupboard. The solution containing 0.5 g/dm³ is low hazard.
• Discuss how you could separate the silver chromate(VI) from the mixture, but do not attempt to do this as it may be a carcinogen .</t>
  </si>
  <si>
    <t>Lesson 57 — Core Practical – Preparing Insoluble Salts
Specification Points:
2.34	know the general rules for predicting the solubility of ionic compounds in water:
• common sodium, potassium and ammonium compounds are soluble
• all nitrates are soluble
• common chlorides are soluble, except those of silver and lead(II)
• common sulfates are soluble, except for those of barium, calcium and lead(II) 
• common carbonates are insoluble, except for those of sodium, potassium and ammonium 
• common hydroxides are insoluble except for those of sodium, potassium and calcium (calcium hydroxide is slightly soluble)
2.41C describe an experiment to prepare a pure, dry sample of an insoluble salt, starting from two soluble reactants
2.43C practical: prepare a sample of pure, dry lead(II) sulfate
Pages: Student Book pages 183–185
Lab Book: Page 23
Requisitions:
Practical Name: Lead(II) sulfate preparation
Practical Type: Student practical
Equipment Required:
Beakers, filter funnel &amp; paper, wash bottle
Chemicals Required: 
Lead(II) nitrate, sodium sulfate
Safety Notes: 
Eye protection; lead compounds toxic
Additional equipment (lesson resources):
disposable gloves
Notes:
Eye protection, disposable gloves and a safety mask should be worn when doing the demonstration.
The demonstration should be carried out in a fume cupboard.
Potassium chromate(VI) is toxic and dangerous for the environment. It is a</t>
  </si>
  <si>
    <t>• know the solubility rules
• determine whether a salt is soluble or insoluble from a chemical equation
• for a named salt, choose a salt preparation method depending on the salt&amp;rsquo;s solubility
• describe the experimental procedure of preparing an insoluble salt
• explain the steps used in the method to get a pure, dry salt.</t>
  </si>
  <si>
    <t>• insoluble salt: a salt that does not dissolve in water
• precipitation: a reaction in which two solutions are mixed to form an insoluble solid (precipitate)
• filtration: the separation of an insoluble solid from a liquid using filter paper
• precipitate: an insoluble solid formed in a solution during a chemical reaction</t>
  </si>
  <si>
    <t>1. Pour some potassium chromate(VI) solution into a small glass beaker.
2. Slowly add some silver nitrate solution. Students will see an immediate red precipitate of silver chromate(VI) form.
3. Do not attempt to isolate the silver chromate(VI) precipitate – flush it down the drain with plenty of water.
1. Measure 25 cm³ of lead(II) nitrate solution using a measuring cylinder. Pour this into a 10⁰ cm³ beaker.
2. Measure 30 cm³ of sodium sulfate using a measuring cylinder. Add this to the lead(II) nitrate and stir well. Lead(II) sulfate should precipitate out.
3. Set up equipment for filtering.
4. Filter the contents of the beaker.
5. Rinse out the beaker with distilled water and add to the filter paper.
6. Rinse the residue in the filter paper with distilled water.
7. Remove the filter paper from the filter funnel and allow to dry in an oven or desiccator.</t>
  </si>
  <si>
    <t>Titration Calculations</t>
  </si>
  <si>
    <t>1.29 calculate reacting masses using experimental data and chemical equations
1.34C understand how to carry out calculations involving amount of substance, volume, and concentration (in mol/dm3) of solution</t>
  </si>
  <si>
    <t>Pages 70–72 and 170–172, 181</t>
  </si>
  <si>
    <t>Lesson 59  — Titration Calculations
Specification Points:
1.29 calculate reacting masses using experimental data and chemical equations
1.34C understand how to carry out calculations involving amount of substance, volume, and concentration (in mol/dm3) of solution
Pages 70–72 and 170–172, 181
Requisitions:
Practical Name: N/A
Practical Type: N/A
Equipment Required:
N/A
Chemicals Required: 
N/A
Safety Notes: 
N/A</t>
  </si>
  <si>
    <t>• calculate the number of moles in a solution using volume and concentration
• calculate the moles of one reactant knowing the moles of the other reactant and the equation
• calculate a mean titre value
• calculate the concentration of a solution using titration data.</t>
  </si>
  <si>
    <t>• titration: a technique used to find the exact volume of one solution needed to react with a known volume of another
• concentration: the amount of solute dissolved in a given volume of solution
• mole: the amount of substance containing 6.02 × 10²³ particles</t>
  </si>
  <si>
    <t>**Teaching session**
Titration calculations
Calculating the concentration of a reactant
The information you will need:
reactant 1
concentration
(in mol/dm³
or
mol/cm³
)
reactant 1 volume (in dm³
or cm³
)
reactant 2 volume (in dm³
or cm³
)
balanced symbol equation to find mole ratio between both reactants.
The equation you will need:
concentration (mol/dm³
)
\(=\frac{\mathrm{number}\;\mathrm{of}\;\mathrm{moles}\;\mathrm{of}\;\mathrm{solute}}{\mathrm{volume}\;\mathrm{of}\;\mathrm{solution}\;\mathrm{in}\;\mathrm{dm}^3}\)
Question
25.0 cm³
of sodium hydroxide (NaOH) solution was titrated against
0.150 mol/dm³
hydrochloric acid (HCl).
The results of four titrations were: 21.2 cm³
, 20.1 cm³
,
20.0 cm³
, 19.9 cm³
.
Calculate the concentration of the sodium hydroxide solution.
Step 1
25.0 cm³
of sodium hydroxide (NaOH) solution was titrated against
0.150 mol/dm³
hydrochloric acid (HCl).
The results of four titrations were: 21.2 cm³
, 20.1 cm³
,
20.0 cm³
, 19.9 cm³
.
Calculate the concentration of the sodium hydroxide solution.
concentration of HCl
=
0.150 mol/dm³
volume of HCl
= 20.0 cm³
Step 2
25.0 cm³
of sodium hydroxide (NaOH) solution was titrated against
0.150 mol/dm³
hydrochloric acid (HCl).
The results of four titrations were: 21.2 cm³
, 20.1 cm³
,
20.0 cm³
, 19.9 cm³
.
Calculate the concentration of the sodium hydroxide solution.
concentration of HCl
=
0.150 mol/dm³
volume of HCl
= 20.0 cm³
number of moles of HCl
= concentration of HCl
× volume of solution used
number of moles of HCl
= 0.150 mol/dm³
× (20.0 cm³
÷ 1000) = 0.003 mol
Step 3
25.0 cm³
of sodium hydroxide (NaOH) solution was titrated against
0.150 mol/dm³
hydrochloric acid (HCl).
The results of four titrations were: 21.2 cm³
, 20.1 cm³
,
20.0 cm³
, 19.9 cm³
.
Calculate the concentration of the sodium hydroxide solution.
\(\mathrm{HCl}\;+\;\mathrm{NaOH}\rightarrow\;\;\mathrm{NaCl}\;+\;{\mathrm H}_2\mathrm
O\;\;\)
mole ratio HCl : NaOH = 1 : 1
Step 4
25.0 cm³
of sodium hydroxide (NaOH) solution was titrated against
0.150 mol/dm³
hydrochloric acid (HCl).
The results of four titrations were: 21.2 cm³
, 20.1 cm³
,
20.0 cm³
, 19.9 cm³
.
Calculate the concentration of the sodium hydroxide solution.
The equation you will need:
concentration of NaOH (mol/dm³
)
\(=\frac{\mathrm{numbers}\;\mathrm{of}\;\mathrm{moles}\;\mathrm{of}\;\mathrm{NaOH}}{\mathrm{volume}\;\mathrm{of</t>
  </si>
  <si>
    <t>Titrations and Volumetric Analysis</t>
  </si>
  <si>
    <t>1.29 calculate reacting masses using experimental data and chemical equations
1.34C understand how to carry out calculations involving amount of substance, volume, and concentration (in mol/dm3) of solution
2.33C describe how to carry out an acid-alkali titration</t>
  </si>
  <si>
    <t>Pages 70–72 and 170–172</t>
  </si>
  <si>
    <t>Practical Name: Temperature change experiments
Practical Type: Student practical
Equipment Required:
Polystyrene cup, thermometer, measuring cylinder
Chemicals Required:
Acids, alkalis, metals, salts
Safety Notes:
Eye protection; exothermic reactions can get hot
Additional equipment (lesson resources):
burette and stand
funnel
pipette and filler
conical flask
white tile
wash bottle of distilled or deionised water
methyl orange indicator
0.10 mol/dm³ sodium hydroxide solution
hydrochloric acid of unknown concentration</t>
  </si>
  <si>
    <t>Eye protection must be worn.</t>
  </si>
  <si>
    <t>Lesson 60  — Titrations and Volumetric Analysis
Specification Points:
1.29 calculate reacting masses using experimental data and chemical equations
1.34C understand how to carry out calculations involving amount of substance, volume, and concentration (in mol/dm3) of solution
2.33C describe how to carry out an acid-alkali titration
Pages 70–72 and 170–172
Requisitions:
Practical Name: Temperature change experiments
Practical Type: Student practical
Equipment Required:
Polystyrene cup, thermometer, measuring cylinder
Chemicals Required: 
Acids, alkalis, metals, salts
Safety Notes: 
Eye protection; exothermic reactions can get hot
Additional equipment (lesson resources):
burette and stand
funnel
pipette and filler
conical flask
white tile
wash bottle of distilled or deionised water
methyl orange indicator
0.10 mol/dm³ sodium hydroxide solution
hydrochloric acid of unknown concentration
Notes:
Eye protection must be worn.</t>
  </si>
  <si>
    <t>• explain each of the techniques in a titration method
• complete a results table for a titration
• calculate the concentration of an acid/alkali using titration data
• describe the steps to take to get concordant titration results.</t>
  </si>
  <si>
    <t>• titration: a technique for finding the precise volume of a solution needed to react with another
• burette: a piece of apparatus used to measure the volume of solution added during a titration
• pipette: a piece of apparatus used to measure a fixed volume of solution
• end point: the point in a titration where the indicator changes colour permanently
• indicator: a substance that changes colour to show when a reaction is complete</t>
  </si>
  <si>
    <t xml:space="preserve">Core Practical – The Atmosphere </t>
  </si>
  <si>
    <t>2.9 know the approximate percentages by volume of the four most abundant gases in dry air
2.10 understand how to determine the percentage by volume of oxygen in air using experiments involving the reactions of metals (e.g., iron) and non-metals (e.g., phosphorus) with air
2.14 practical: determine the approximate percentage by volume of oxygen in air using a metal or a non-metal</t>
  </si>
  <si>
    <t>Pages 137–141
Lab Book: Pages 16–17</t>
  </si>
  <si>
    <t>Practical Name: Percentage Composition Oxygen in Air
Practical Type: Demo
Equipment Required:
eye protection
water
250 cm³ beaker
glass stirring rod
ruler
test tube
Chemicals Required:
iron wool
Safety Notes:
Eye protection should be worn throughout to prevent any tiny pieces from the iron wool getting into eyes.
Small pieces of iron can be an irritant on the skin, wash off any as soon as possible.</t>
  </si>
  <si>
    <t>Eye protection should be worn throughout to prevent any tiny pieces from the iron wool getting into eyes.
Small pieces of iron can be an irritant on the skin, wash off any as soon as possible.
Handle glassware carefully. Report any breakages to the teacher immediately.
Eye protection should be worn throughout.
Eye protection or a face shield should be worn throughout.
The practical should ideally be carried out in a fume cupboard.
This is a dangerous experiment and so is a teacher-led demonstration.</t>
  </si>
  <si>
    <t>Lesson 61  — Core Practical – The Atmosphere
Specification Points:
2.9 know the approximate percentages by volume of the four most abundant gases in dry air
2.10 understand how to determine the percentage by volume of oxygen in air using experiments involving the reactions of metals (e.g., iron) and non-metals (e.g., phosphorus) with air
2.14 practical: determine the approximate percentage by volume of oxygen in air using a metal or a non-metal
Pages 137–141
Lab Book: Pages 16–17
Requisitions:
Practical Name: Percentage Composition Oxygen in Air
Practical Type: Demo
Equipment Required:
eye protection
water
250 cm3 beaker
glass stirring rod
ruler
test tube
Chemicals Required: 
iron wool
Safety Notes: 
Eye protection should be worn throughout to prevent any tiny pieces from the iron wool getting into eyes.
Small pieces of iron can be an irritant on the skin, wash off any as soon as possible.
Notes:
Eye protection should be worn throughout to prevent any tiny pieces from the iron wool getting into eyes.
Small pieces of iron can be an irritant on the skin, wash off any as soon as possible.
Handle glassware carefully. Report any breakages to the teacher immediately.</t>
  </si>
  <si>
    <t>• state the percentage composition of dry air
• state that when some elements oxidise in air, only oxygen is removed from the air, leaving a smaller volume of gas
• describe a method of finding the percentage of oxygen in the air
• calculate the percentage of oxygen in the air
• explain the limitations of these methods.</t>
  </si>
  <si>
    <t>• atmosphere: layer of gases which surround a planet and are held in place by gravity
• combustion: a chemical reaction in which a substance reacts with oxygen (burns) to form products and heat</t>
  </si>
  <si>
    <t>**Teaching session**
The composition of the air
Other gases in dry, unpolluted air
Amount in air (%)
argon
0.9
carbon dioxide
0.04
Determining oxygen in the air – using copper (method and safety)
Safety
Eye protection should be worn throughout.
Take care with the gas syringes as they are made from glass and are fragile.
Try to keep the flame away from the gas syringes so the heat does not crack
them.
Tie a piece of string around the plunger and the top of the syringe. This is to
prevent the plunger falling on to the lab bench and smashing if it is pushed out
of the end.
Determining oxygen in the air – using copper (results)
As the air is moved over the hot copper using the syringe plungers, the oxygen in the
air reacts with the copper causing the volume of air to decrease.
Initial air in system:
10⁰ cm³
Final volume of air
in the system: 79 cm³
Determining oxygen in the air – using copper (key points)
This experiment needs an excess of copper, otherwise there is not enough copper
to react with the oxygen, resulting in unreacted oxygen. This would cause the
volume of oxygen to be lower than would be expected. If there is copper left
unreacted at the end of the experiment, we know we have used sufficient copper
to react with all the oxygen in the system.
Only look at the gas syringes once they have cooled as hot gases expand and take
up more space. Because the system was calibrated when it was cold – in
this case with 10⁰ cm³
of air in one syringe and nothing in
the other – if the final volume is recorded when the syringes are hot, the
volumes will be greater than they should be.
Safety
Eye protection or a face shield should be worn throughout.
The practical should ideally be carried out in a fume cupboard.
The bell jar needs to be held down as the pressure can rise, causing it to tilt
and, in some cases, flip.
Once the smoke has gone, the evaporating basin needs to be sunk into the water
to prevent any unreacted phosphorus from reigniting when the bell jar is lifted.
This is because more oxygen will be supplied once the bell jar is lifted.
Determining oxygen in the air – using phosphorus (results)
There are two water level marks on the bell jar. To determine the volumes marked,
fill the bell jar to one mark with water. Pour this water into a measuring cy</t>
  </si>
  <si>
    <t xml:space="preserve">The Greenhouse Effect </t>
  </si>
  <si>
    <t>2.13	know that carbon dioxide is a greenhouse gas and that increasing amounts in the 	atmosphere may contribute to climate change</t>
  </si>
  <si>
    <t>Pages 142–143</t>
  </si>
  <si>
    <t>Lesson 62 — The Greenhouse Effect
Specification Points:
2.13	know that carbon dioxide is a greenhouse gas and that increasing amounts in the 	atmosphere may contribute to climate change
Pages 142–143
Requisitions:
Practical Name: N/A
Practical Type: N/A
Equipment Required:
N/A
Chemicals Required: 
N/A
Safety Notes: 
N/A</t>
  </si>
  <si>
    <t>• explain the meaning of 'greenhouse gas' and &amp;lsquo;greenhouse effect&amp;rsquo;
• state the common greenhouse gases
• describe the basic processes that add or remove carbon dioxide to/from the atmosphere
• evaluate the evidence that humans are adding carbon dioxide to the air.</t>
  </si>
  <si>
    <t>• causal link: when one thing can be shown to be causing another thing
• climate change: changes that happen to the global weather patterns as a result of global warming
• correlation: a relationship between two variables, such that if one variable changes so does the other; this can be positive or negative
• emit: give out
• global warming: greenhouse gases, including carbon dioxide, trap the heat radiated from the Earth&amp;rsquo;s surface (originally from the Sun) and lead to an increase in the temperature of the Earth and its atmosphere
• greenhouse gas: gases, such as carbon dioxide, which can trap heat radiated from the Earth&amp;rsquo;s surface (originally from the Sun)</t>
  </si>
  <si>
    <t xml:space="preserve">Lesson 63 </t>
  </si>
  <si>
    <t>Climate Change</t>
  </si>
  <si>
    <t>2.13 know that carbon dioxide is a greenhouse gas and that increasing amounts in the atmosphere may contribute to climate change</t>
  </si>
  <si>
    <t>Slideshow: Reducing the impact of climate
Ocean acidification
Reducing the impact of climate change
Reducing greenhouse gases
Reducing emissions may not be enough to lessen the effects of climate change</t>
  </si>
  <si>
    <t>Lesson 63 — Climate Change
Specification Points:
2.13 know that carbon dioxide is a greenhouse gas and that increasing amounts in the atmosphere may contribute to climate change
Pages 142–143
Requisitions:
Practical Name: N/A
Practical Type: N/A
Equipment Required:
N/A
Chemicals Required: 
N/A
Safety Notes: 
N/A</t>
  </si>
  <si>
    <t>• suggest possible effects on the climate of increased levels of carbon dioxide and methane
• describe how human activity leads to increased carbon dioxide and methane levels
• describe how natural and human activities add and remove greenhouse gases to and from the atmosphere
• explain how the impacts of humans on the environment can be addressed and limited.</t>
  </si>
  <si>
    <t>• climate change: changes that happen to the global weather patterns as a result of global warming
• methane: the simplest alkane or hydrocarbon (a molecule containing carbon and hydrogen only) with the formula CH4; a greenhouse gas produced by the intestinal bacteria in cattle</t>
  </si>
  <si>
    <t>Oxidation Reactions</t>
  </si>
  <si>
    <t>2.11 describe the combustion of elements in oxygen, including magnesium, hydrogen and sulfur</t>
  </si>
  <si>
    <t>Pages 104 and 147</t>
  </si>
  <si>
    <t>Practical Name: Burning sulfur in oxygen
Practical Type: Demo
Equipment Required:
deflagrating spoon
source of ignition
universal indicator
water
Bunsen burner
heat-proof mat
Chemicals Required:
gas jar of oxygen
small piece of sulfur
Safety Notes:
Eye protection must be worn.
Teacher demonstration only.
Must be carried out in a fume cupboard.
The sulfur dioxide produced is corrosive (causes severe skin burns and eye damage) and toxic if inhaled.</t>
  </si>
  <si>
    <t>Eye protection must be worn.
Take care with hot apparatus. Do not touch hot equipment directly. Use tongs or heat-proof mats.
Carry out this work in a fume cupboard or well-ventilated area.</t>
  </si>
  <si>
    <t>Lesson 64  — Oxidation Reactions
Specification Points:
2.11 describe the combustion of elements in oxygen, including magnesium, hydrogen and sulfur
Pages 104 and 147
Requisitions:
Practical Name: Burning sulfur in oxygen
Practical Type: Demo
Equipment Required:
deflagrating spoon
source of ignition
universal indicator
water
Bunsen burner
heat-proof mat
Chemicals Required: 
gas jar of oxygen
small piece of sulfur
Safety Notes: 
Eye protection must be worn.
Teacher demonstration only.
Must be carried out in a fume cupboard.
The sulfur dioxide produced is corrosive (causes severe skin burns and eye damage) and toxic if inhaled.
Notes:
Eye protection must be worn.
Take care with hot apparatus. Do not touch hot equipment directly. Use tongs or heat-proof mats.
Carry out this work in a fume cupboard or well-ventilated area.</t>
  </si>
  <si>
    <t>• define the term ‘combustion’
• describe that combustion is an oxidation reaction
• describe the reactions of metals and non-metals with oxygen, including writing equations.</t>
  </si>
  <si>
    <t>• combustion: a chemical reaction in which a substance reacts with oxygen (burns) to form products and heat
• oxidation: gain of oxygen or loss of electrons</t>
  </si>
  <si>
    <t>**Teaching session 1**
oxygen</t>
  </si>
  <si>
    <t>Decomposition of Carbonates</t>
  </si>
  <si>
    <t>2.12 describe the formation of carbon dioxide from the thermal decomposition of metal carbonates, including copper(II) carbonate</t>
  </si>
  <si>
    <t>Page 142</t>
  </si>
  <si>
    <t>Practical Name: Comparing thermal decomposition of metal carbonates
 Practical Type: Student Practical
 Equipment Required:
eye protection
Bunsen burner
test tube with bung and delivery tube attachment
test tube of limewater
stop watch
heat proof mat
test tube holder
spatula
 Chemicals Required:
 metal carbonates (e.g., copper(II) carbonate, calcium carbonate, sodium carbonate, zinc carbonate)
 Limewater
 Safety Notes:
Wear eye protection.
Beware of suck-back. Listen to your teacher for advice on what to do when you have finished heating.
Limewater is an irritant.
Copper(II) carbonate is harmful.
Potassium carbonate is an irritant.
Sodium carbonate is an irritant.</t>
  </si>
  <si>
    <t>Caution with suck back when the students take the boiling tube away from the heat source. Make sure they remove the limewater first.
Wear eye protection.
Take care with hot apparatus. Do not touch hot equipment directly. Use tongs or heat-proof mats.
Handle glassware carefully. Report any breakages to the teacher immediately.</t>
  </si>
  <si>
    <t>Lesson 65  — Decomposition of Carbonates
Specification Points:
2.12 describe the formation of carbon dioxide from the thermal decomposition of metal carbonates, including copper(II) carbonate
Page 142
Requisitions:
Practical Name: Comparing thermal decomposition of metal carbonates
 Practical Type: Student Practical
 Equipment Required:
eye protection
Bunsen burner
test tube with bung and delivery tube attachment
test tube of limewater
stop watch
heat proof mat
test tube holder
spatula
 Chemicals Required: 
 metal carbonates (e.g., copper(II) carbonate, calcium carbonate, sodium carbonate, zinc carbonate)
 Limewater
 Safety Notes: 
Wear eye protection.
Beware of suck-back. Listen to your teacher for advice on what to do when you have finished heating.
Limewater is an irritant.
Copper(II) carbonate is harmful.
Potassium carbonate is an irritant.
Sodium carbonate is an irritant.
Notes:
Caution with suck back when the students take the boiling tube away from the heat source. Make sure they remove the limewater first.
Wear eye protection.
Take care with hot apparatus. Do not touch hot equipment directly. Use tongs or heat-proof mats.
Handle glassware carefully. Report any breakages to the teacher immediately.</t>
  </si>
  <si>
    <t>• learn the meaning of the term 'decomposition'
• describe how some compounds can be thermally decomposed
• describe an experiment to see how quickly some carbonates decompose
• write equations for thermal decompositions.</t>
  </si>
  <si>
    <t>• thermal decomposition: the breaking down of a compound into simpler substances using heat
• metal carbonate: a compound containing a metal, carbon and oxygen
• limewater: a solution of calcium hydroxide used to test for carbon dioxide</t>
  </si>
  <si>
    <t>Introduction to Organic Chemistry</t>
  </si>
  <si>
    <t>4.1 know that a hydrocarbon is a compound of hydrogen and carbon only
4.2 understand how to represent organic molecules using empirical formulae, molecular formulae, general formulae, structural formulae and displayed formulae</t>
  </si>
  <si>
    <t>Pages 255–258</t>
  </si>
  <si>
    <t>Molymods
Additional equipment (lesson resources):
Molecular modelling kit</t>
  </si>
  <si>
    <t>Lesson 67  — Introduction to Organic Chemistry
Specification Points:
4.1 know that a hydrocarbon is a compound of hydrogen and carbon only
4.2 understand how to represent organic molecules using empirical formulae, molecular formulae, general formulae, structural formulae and displayed formulae
Pages 255–258
Requisitions:
Molymods
Additional equipment (lesson resources):
Molecular modelling kit</t>
  </si>
  <si>
    <t>• define a hydrocarbon as a compound of hydrogen and carbon only
• represent organic molecules using empirical formulae, molecular formulae, general formulae, structural formulae and displayed formulae.</t>
  </si>
  <si>
    <t>• displayed formula: a formula that shows all the bonds in a molecule as individual lines, each line representing a pair of shared electrons in a covalent bond
• hydrocarbon: a compound consisting of hydrogen and carbon atoms only
• organic compound: a compound that contains carbon atoms bonded to hydrogen atoms
• structural formula: a formula that shows how the atoms are joined together in a molecule, which is often written in a condensed form by omitting all of the carbon–carbon and carbon–hydrogen single bonds</t>
  </si>
  <si>
    <t>**Teaching session 1**</t>
  </si>
  <si>
    <t>Lesson 68</t>
  </si>
  <si>
    <t>Homologous Series</t>
  </si>
  <si>
    <t>4.3	know what is meant by the terms homologous series and functional group</t>
  </si>
  <si>
    <t>Pages 258–260</t>
  </si>
  <si>
    <t>Molymods</t>
  </si>
  <si>
    <t>carboxylic acids
an alcohol and a carboxylic acid; they have the functional group
Functional group: carboxylic acid
Working out the general formula of carboxylic acids</t>
  </si>
  <si>
    <t>Lesson 68 — Homologous Series
Specification Points:
4.3	know what is meant by the terms homologous series and functional group
Pages 258–260
Requisitions:
Molymods</t>
  </si>
  <si>
    <t>• define the term ‘functional group’
• describe how molecules are grouped into homologous series
• deduce a general formula for a homologous series
• name functional groups and their homologous series.</t>
  </si>
  <si>
    <t>• alcohols: a homologous series of compounds which all contain an –OH functional group attached to a hydrocarbon chain
• alkanes: a homologous series of similar hydrocarbons in which all the carbons are joined to each other with single covalent bonds; these are saturated compounds with the general formula CnH2n+2
• alkenes: a homologous series of hydrocarbons that all contain at least one carbon–carbon double bond; these are unsaturated compounds with the general formula CnH2n
• carboxylic acids: a homologous series of compounds that all contain a –COOH functional group attached to a hydrocarbon chain
• esters: a group of organic compounds formed by the reaction of an alcohol and a carboxylic acid; they have the functional group –COO-.
• functional group: an atom or a group of atoms that determine the chemical properties of a compound
• general formula: a formula applicable to all members of a homologous series, for example CnH2n+2 for alkanes and CnH2n for alkenes
• homologous series: a series of compounds with similar chemical properties because they have the same functional group; each member differs from the next by –CH2– and the members show a gradual change in properties
• saturated compound: a compound containing only carbon–carbon single bonds with no carbon–carbon double or triple bonds
• unsaturated compound: a compound containing one or more carbon–carbon double or triple bonds</t>
  </si>
  <si>
    <t>Naming Organic Compounds</t>
  </si>
  <si>
    <t xml:space="preserve">4.3 know what is meant by the terms homologous series and functional group
4.4 understand how to name compounds (containing up to six carbon atoms) using the rules of International Union of Pure and Applied Chemistry (IUPAC) nomenclature  </t>
  </si>
  <si>
    <t>Pages 258–260, 287, 288, 293, 294 and 297–299</t>
  </si>
  <si>
    <t>Lesson 69  — Naming Organic Compounds
Specification Points:
4.3 know what is meant by the terms homologous series and functional group
4.4 understand how to name compounds (containing up to six carbon atoms) using the rules of International Union of Pure and Applied Chemistry (IUPAC) nomenclature
Pages 258–260, 287, 288, 293, 294 and 297–299
Requisitions:
Molymods</t>
  </si>
  <si>
    <t>• name functional groups and their homologous series
• name alkanes, up to six carbons
• name alkenes, up to six carbons
• name alcohols and carboxylic acids and esters.</t>
  </si>
  <si>
    <t>• alcohols: a homologous series of compounds that all contain an &amp;ndash;OH functional group attached to a hydrocarbon chain
• alkanes: a homologous series of similar hydrocarbons in which all the carbons are joined to each other with single covalent bonds; these are saturated compounds with the general formula CnH2n+2
• alkenes: a homologous series of hydrocarbons that contain a carbon&amp;ndash;carbon double bond; these are unsaturated compounds with the general formula CnH2n
• carboxylic acids: a homologous series of compounds that all contain a &amp;ndash;COOH functional group attached to a hydrocarbon chain
• esters: a group of organic compounds formed by the reaction of an alcohol and a carboxylic acid; they have the functional group &amp;ndash;COO&amp;ndash;.
• functional group: an atom or a group of atoms that determine the chemical properties of a compound
• general formula: a formula applicable to all members of a homologous series, for example CnH2n+2 for alkanes, and CnH2n for alkenes
• homologous series: a series of compounds with similar chemical properties because they have the same functional group; each member differs from the next by &amp;ndash;CH2&amp;ndash; and the members show a gradual change in properties
• saturated compound: a compound containing only carbon&amp;ndash;carbon single bonds with no carbon&amp;ndash;carbon double or triple bonds
• unsaturated compound: a compound containing one or more carbon&amp;ndash;carbon double or triple bonds</t>
  </si>
  <si>
    <t>Isomers</t>
  </si>
  <si>
    <t>4.2 understand how to represent organic molecules using empirical formulae, molecular formulae, general formulae, structural formulae and displayed formulae
4.3 know what is meant by the term isomerism
4.5 understand how to write the possible structural and displayed formulae of an organic molecule given its molecular formula</t>
  </si>
  <si>
    <t>Pages 261–264</t>
  </si>
  <si>
    <t>Lesson 70 — Isomers
Specification Points:
4.2 understand how to represent organic molecules using empirical formulae, molecular formulae, general formulae, structural formulae and displayed formulae
4.3 know what is meant by the term isomerism
4.5 understand how to write the possible structural and displayed formulae of an organic molecule given its molecular formula
Pages 261–264
Requisitions:
Molymods</t>
  </si>
  <si>
    <t>• that carbon always forms four covalent bonds
• the meaning of the term 'isomer'
• to draw and name all isomers of a molecule.</t>
  </si>
  <si>
    <t>• structural isomerism: the existence of two or more different structures with the same molecular formula
• structural isomers: molecules with the same molecular formula but different structural formulae</t>
  </si>
  <si>
    <t>Empirical Formulae</t>
  </si>
  <si>
    <t>4.2 understand how to represent organic molecules using empirical formulae, molecular formulae, general formulae, structural formulae and displayed formulae
4.5 understand how to write the possible structural and displayed formulae of an organic molecule given its molecular formula</t>
  </si>
  <si>
    <t>Pages 46–47, 256–258</t>
  </si>
  <si>
    <t>Lesson 71 — Empirical Formulae
Specification Points:
4.2 understand how to represent organic molecules using empirical formulae, molecular formulae, general formulae, structural formulae and displayed formulae
4.5 understand how to write the possible structural and displayed formulae of an organic molecule given its molecular formula
Pages 46–47, 256–258
Requisitions:
Molymods</t>
  </si>
  <si>
    <t>• deduce the molecular formula from a displayed or structural formula
• deduce the empirical formula given the molecular formula
• write possible molecular formulae and also structural formulae given the empirical formula
• calculate the empirical and molecular formula of an organic molecule from data.</t>
  </si>
  <si>
    <t>• empirical formula: gives the simplest whole-number ratio of the atoms of each element present in a compound. It can be worked out from experimental data
• molecular formula: shows the actual number of each type of atom present in a molecule (covalent compound) or formula unit (ionic compound)</t>
  </si>
  <si>
    <t>Types of Organic Reactions</t>
  </si>
  <si>
    <t>4.6 understand how to classify reactions of organic compounds as substitution, addition and combustion, knowledge of reaction mechanisms is not required</t>
  </si>
  <si>
    <t>Pages 264–265, 271, 279, 280 and 283</t>
  </si>
  <si>
    <t>Practical Name: Using Up Oxygen
Practical Type: Student
Equipment Required:
eye protection
50 cm³ measuring cylinder
10⁰ cm³ measuring cylinder
250 cm³ measuring cylinder
funnel
dropping pipette
glass jars with lids (various sizes)
splints
Bunsen burner
heat-resistant mat
stop clock
graph paper
Chemicals Required:
tea light or other small candle
Safety Notes:
Wear eye protection.
The glass containers will become hot during the experiment. Allow them to cool before handling them.</t>
  </si>
  <si>
    <t>• Wear eye protection.</t>
  </si>
  <si>
    <t>Lesson 72 — Types of Organic Reactions
Specification Points:
4.6 understand how to classify reactions of organic compounds as substitution, addition and combustion, knowledge of reaction mechanisms is not required
Pages 264–265, 271, 279, 280 and 283
Requisitions:
Practical Name: Using Up Oxygen
Practical Type: Student
Equipment Required:
eye protection
50 cm3 measuring cylinder
100 cm3 measuring cylinder
250 cm3 measuring cylinder
funnel
dropping pipette
glass jars with lids (various sizes)
splints
Bunsen burner
heat-resistant mat
stop clock
graph paper
Chemicals Required: 
tea light or other small candle
Safety Notes: 
Wear eye protection.
The glass containers will become hot during the experiment. Allow them to cool before handling them.
Notes:
Wear eye protection.
The glass containers will become hot during the experiment. Allow them to cool before handling them.
Take care with hot apparatus. Do not touch hot equipment directly. Use tongs or heat-proof mats.</t>
  </si>
  <si>
    <t>• understand what a substitution reaction is
• understand what an addition reaction is
• understand what a combustion reaction is
• identify the reaction type from given information.</t>
  </si>
  <si>
    <t>• addition: a chemical reaction in which one molecule adds to another without taking anything away, to form a single product (for example, when alkenes react with halogens and the halogen atoms are added onto the alkene molecule)
• substitution: a chemical reaction in which an atom or group of atoms in a molecule is replaced by a different atom or group of atoms (for example, when alkanes react with halogens in the presence of ultraviolet light and the hydrogen atoms in the alkanes are replaced by halogen atoms)</t>
  </si>
  <si>
    <t>1. Place an upturned lid on the heat-resistant mat.
2. Place the tea light on the upturned lid and light it with a splint.
3. Fit the matching glass jar over the lid and immediately start the stop clock.
4. Record, to the nearest second, the time until the flame goes out.
5. Allow the glass jar to cool. Remove the glass jar and fill it to the brim with water. Measure and record the volume of water in the jar.
6. Dry the inside of the glass jar and repeat steps 1 to 4 using the same glass jar.
7. Repeat steps 1 to 6 several times with the same tea light but using different-sized glass jars with their lids.</t>
  </si>
  <si>
    <t>Crude Oil</t>
  </si>
  <si>
    <t>4.7 know that crude oil is a mixture of hydrocarbons
4.8 describe how the industrial process of fractional distillation separates crude oil into fractions</t>
  </si>
  <si>
    <t>Pages 268–270</t>
  </si>
  <si>
    <t>Lesson 73 — Crude Oil
Specification Points:
4.7 know that crude oil is a mixture of hydrocarbons
4.8 describe how the industrial process of fractional distillation separates crude oil into fractions
Pages 268–270
Requisitions:
Practical Name: N/A
Practical Type: N/A
Equipment Required:
N/A
Chemicals Required: 
N/A
Safety Notes: 
N/A</t>
  </si>
  <si>
    <t>• state that crude oil is a raw material in limited supply
• state that crude oil is a mixture of hydrocarbon molecules
• describe how fractional distillation is used to separate crude oil into fractions
• explain that fractions are still mixtures.</t>
  </si>
  <si>
    <t>• crude oil: formed from the remains of living organisms when their soft tissue was gradually changed by high temperatures and pressures into a thick, black oil; it is a mixture of hydrocarbons
• fractions: groups of compounds collected when a mixture is separated by fractional distillation
• viscous: a liquid that is resistant to flow
• volatile: a substance that evaporates easily</t>
  </si>
  <si>
    <t>Lesson 74</t>
  </si>
  <si>
    <t>Fractions</t>
  </si>
  <si>
    <t>4.8 describe how the industrial process of fractional distillation separates crude oil into fractions
4.9 know the names and uses of the main fractions obtained from crude oil: refinery gases, gasoline, kerosene, diesel, fuel oil and bitumen
4.10 know the trend in colour, boiling point, and viscosity of the main fractions</t>
  </si>
  <si>
    <t>Pages 270–272</t>
  </si>
  <si>
    <t>Practical Name: Separating crude oil
Practical Type: Demo
Equipment Required:
eye protection
side-arm boiling tube
thermometer in a bung (0–350 °C)
delivery tube
four test tubes with stoppers
test-tube rack
250 cm³ beaker
stand, boss and clamp
Bunsen burner
heat-resistant mat
dropping pipette
watch glass
splints
glass rod
Chemicals Required:
mineral wool
crude oil substitute
Safety Notes:
Wear eye protection.
Avoid breathing the vapours formed.
Be careful with hot apparatus – let it cool down fully before tidying away.
Ensure a 0–350 °C thermometer is used for this demonstration. If a 0–10⁰ °C thermometer is used, it will explode as the temperature increases beyond 10⁰ °C.</t>
  </si>
  <si>
    <t>Wear eye protection.
Avoid breathing the vapours formed.
Be careful with hot apparatus – let it cool down fully before tidying away.
Handle glassware carefully. Report any breakages to the teacher immediately.</t>
  </si>
  <si>
    <t>Lesson 74 — Fractions
Specification Points:
4.8 describe how the industrial process of fractional distillation separates crude oil into fractions
4.9 know the names and uses of the main fractions obtained from crude oil: refinery gases, gasoline, kerosene, diesel, fuel oil and bitumen
4.10 know the trend in colour, boiling point, and viscosity of the main fractions
Pages 270–272
Requisitions:
Practical Name: Separating crude oil
Practical Type: Demo
Equipment Required:
eye protection
side-arm boiling tube
thermometer in a bung (0–350 °C)
delivery tube
four test tubes with stoppers
test-tube rack
250 cm3 beaker
stand, boss and clamp
Bunsen burner
heat-resistant mat
dropping pipette
watch glass
splints
glass rod
Chemicals Required: 
mineral wool
crude oil substitute
Safety Notes: 
Wear eye protection.
Avoid breathing the vapours formed.
Be careful with hot apparatus – let it cool down fully before tidying away.
Ensure a 0–350 °C thermometer is used for this demonstration. If a 0–100 °C thermometer is used, it will explode as the temperature increases beyond 100 °C.
Notes:
Wear eye protection.
Avoid breathing the vapours formed.
Be careful with hot apparatus – let it cool down fully before tidying away.
Handle glassware carefully. Report any breakages to the teacher immediately.</t>
  </si>
  <si>
    <t>• describe how fractional distillation is used to separate crude oil into fractions
• state the names of the fractions in order
• explain how molecular size determines the fraction in which the molecule appears
• describe the trends in the fractions
• relate the uses of the fractions to their properties.</t>
  </si>
  <si>
    <t>• fuel: a substance that when burned in oxygen releases heat energy
• refinery gases: a mixture of methane, ethane, propane, and butane; this mixture is commonly used as liquefied petroleum gas (LPG) for domestic heating and cooking</t>
  </si>
  <si>
    <t>Hydrocarbons as Fuels</t>
  </si>
  <si>
    <t>4.11 know that a fuel is a substance that, when burned, releases heat energy
4.12 know the possible products of complete and incomplete combustion of hydrocarbons with oxygen in the air
4.13 understand why carbon monoxide is poisonous, in terms of its effect on the capacity of blood to transport oxygen (references to haemoglobin are not required)</t>
  </si>
  <si>
    <t>Pages 270–271, 279</t>
  </si>
  <si>
    <t>Practical Name: Prodcuts of combustion
Practical Type: Demo
Equipment Required:
eye protection
candle (or mini Bunsen burner)
heat-resistant mat
glass funnel
rubber tubing
U-shaped tube containing anhydrous copper(II) sulfate or dry cobalt chloride paper
boiling tube containing limewater
beaker large enough to accommodate the U-shaped tube
forceps
pump
Chemicals Required:
ice
anhydrous copper(II) sulfate or dry cobalt chloride paper
Safety Notes:
Wear eye protection. Anhydrous copper(II) sulfate is harmful and irritating to the eyes and skin. Cobalt chloride is toxic: use forceps to handle the dry cobalt chloride paper, if this is used.</t>
  </si>
  <si>
    <t>• Wear eye protection. Anhydrous copper(II) sulfate is harmful and irritating to the eyes and skin.
• Cobalt chloride is toxic: use forceps to handle the dry cobalt chloride paper, if this is used.
• Ask students questions about each of the parts of the apparatus: Why is a glass funnel used? (Answer: Plastic would melt; traps any soot produced.) What is being tested for in the U-shaped tube? (Answer: Water vapour) Why is iced water needed around the U-shaped tube? (Answer: To cool the water vapour so it becomes water; it makes it easier for the anhydrous copper sulfate to become hydrated copper sulfate as the vapour might pass through too quickly to cause any change in the anhydrous copper sulfate.) What is the expected colour change of anhydrous copper sulfate? (Answer: It is white when copper sulfate is in the anhydrous form and becomes hydrated blue copper sulfate if there is any water present.) What is being tested for with the limewater? (Answer: Carbon dioxide) What is the positive result for carbon dioxide with the limewater? (Answer: The limewater turns milky white/cloudy.) Discuss the hazard of carbon monoxide and the problems of gas and soot from appliances. (Answer: If insufficient oxygen is present, then soot will form on objects. Soot can block pipes carrying waste gases from an appliance, blacken buildings and cause breathing problems; carbon monoxide, which is toxic, can be produced; it combines with haemoglobin in red blood cells preventing oxygen from combining with the haemoglobin; so reduces amount of oxygen carried in the bloodstream; causing affected people to feel sleepy or drowsy; this can lead to unconsciousness and even death.)</t>
  </si>
  <si>
    <t>Lesson 75 — Hydrocarbons as Fuels
Specification Points:
4.11 know that a fuel is a substance that, when burned, releases heat energy
4.12 know the possible products of complete and incomplete combustion of hydrocarbons with oxygen in the air
4.13 understand why carbon monoxide is poisonous, in terms of its effect on the capacity of blood to transport oxygen (references to haemoglobin are not required)
Pages 270–271, 279
Requisitions:
Practical Name: Prodcuts of combustion
Practical Type: Demo
Equipment Required:
eye protection
candle (or mini Bunsen burner)
heat-resistant mat
glass funnel
rubber tubing
U-shaped tube containing anhydrous copper(II) sulfate or dry cobalt chloride paper
boiling tube containing limewater
beaker large enough to accommodate the U-shaped tube
forceps
pump
Chemicals Required: 
ice
anhydrous copper(II) sulfate or dry cobalt chloride paper
Safety Notes: 
Wear eye protection. Anhydrous copper(II) sulfate is harmful and irritating to the eyes and skin. Cobalt chloride is toxic: use forceps to handle the dry cobalt chloride paper, if this is used.
Notes:
Products of combustion analysis: https://images.app.goo.gl/t8DFd79ABGwxh8na8
Wear eye protection. Anhydrous copper(II) sulfate is harmful and irritating to the eyes and skin.
Cobalt chloride is toxic: use forceps to handle the dry cobalt chloride paper, if this is used.
Take care with hot apparatus. Do not touch hot equipment directly. Use tongs or heat-proof mats.
Handle glassware carefully. Report any breakages to the teacher immediately.</t>
  </si>
  <si>
    <t>• state the meaning of the term ‘fuel’
• state that full (complete) combustion of hydrocarbons releases carbon dioxide and water
• state the conditions leading to incomplete combustion
• explain why carbon monoxide forms in incomplete combustion
• explain why carbon monoxide is toxic.</t>
  </si>
  <si>
    <t>• complete combustion: occurs when a hydrocarbon burns in sufficient oxygen; carbon dioxide and water are formed as products
• incomplete combustion: occurs when a hydrocarbon burns in insufficient oxygen; water is still formed as a product, but carbon monoxide and carbon are formed instead of carbon dioxide</t>
  </si>
  <si>
    <t>1. Demonstrate the products of combustion of candle wax (or of methane gas if using the mini Bunsen burner), using apparatus similar to that shown on Slide 3 of the Slideshow: Hydrocarbons as fuels: Complete combustion. Slideshow: Hydrocarbons as fuels: Complete combustion
2. Use anhydrous copper(II) sulfate or dry cobalt chloride paper to detect water in the U-shaped tube, and limewater to detect carbon dioxide.
3. Show the production of soot on the inverted filter funnel.
4. Show and discuss the differences seen with complete combustion (water and carbon dioxide only [limewater turns milky]) and incomplete combustion (water, but also black soot and little or no carbon dioxide [limewater less or not at all milky]).
5. Discuss the hazard of carbon monoxide and the problems of gas and soot from appliances.</t>
  </si>
  <si>
    <t>Acid Rain</t>
  </si>
  <si>
    <t>4.14 know that, in car engines, the temperature reached is high enough to allow nitrogen and oxygen from air to react, forming oxides of nitrogen
4.15 explain how the combustion of some impurities in hydrocarbon fuels results in the formation of sulfur dioxide
4.16 understand how sulfur dioxide and oxides of nitrogen contribute to acid rain</t>
  </si>
  <si>
    <t>Page 273</t>
  </si>
  <si>
    <t>Practical Name: Burning Sulfur
Practical Type: Demo
Equipment Required:
eye protection
deflagrating spoon with lid
Bunsen burner
heat-proof mat
gas jar of oxygen with lid
Chemicals Required:
0.3 g sulfur
universal indicator solution
Safety Notes:
Wear eye protection.
Carry out the demonstration in a fume cupboard or ensure adequate ventilation in the laboratory.
Sulfur dioxide gas is toxic and has a choking smell. It can also trigger asthma attacks – avoid excessive escape from the gas jar.
OPTIONAL: If the demonstration cannot be carried out, display Slide 1 of the Slideshow: Burning sulfur (found in Starter).</t>
  </si>
  <si>
    <t>• Wear eye protection.
• Carry out the demonstration in a fume cupboard or ensure adequate ventilation in the laboratory.
• Sulfur dioxide gas is toxic and has a choking smell. It can also trigger asthma attacks – avoid excessive escape from the gas jar.
• OPTIONAL: If the demonstration cannot be carried out, display the Image: Burning sulfur .
• Wear eye protection as 0.5 mol/dm³ sulfuric acid and 0.4 mol/dm³ nitric acid are irritants.
• Take care not to jam the samples in the test tube.
• To avoid blocking the sinks, pour the used contents of the test tubes into a sieve and bowl.</t>
  </si>
  <si>
    <t>Lesson 76 — Acid Rain
Specification Points:
4.14 know that, in car engines, the temperature reached is high enough to allow nitrogen and oxygen from air to react, forming oxides of nitrogen
4.15 explain how the combustion of some impurities in hydrocarbon fuels results in the formation of sulfur dioxide
4.16 understand how sulfur dioxide and oxides of nitrogen contribute to acid rain
Page 273
Requisitions:
Practical Name: Burning Sulfur
Practical Type: Demo
Equipment Required:
eye protection
deflagrating spoon with lid
Bunsen burner
heat-proof mat
gas jar of oxygen with lid
Chemicals Required: 
0.3 g sulfur
universal indicator solution
Safety Notes: 
Wear eye protection.
Carry out the demonstration in a fume cupboard or ensure adequate ventilation in the laboratory.
Sulfur dioxide gas is toxic and has a choking smell. It can also trigger asthma attacks – avoid excessive escape from the gas jar.
OPTIONAL: If the demonstration cannot be carried out, display Slide 1 of the Slideshow: Burning sulfur (found in Starter).
Notes:
Wear eye protection.
Carry out the demonstration in a fume cupboard or ensure adequate ventilation in the laboratory.
Sulfur dioxide gas is toxic and has a choking smell. It can also trigger asthma attacks – avoid excessive escape from the gas jar.
Take care with hot apparatus. Do not touch hot equipment directly. Use tongs or heat-proof mats.</t>
  </si>
  <si>
    <t>• explain why nitrogen is inert, but that it will react in an engine
• explain how sulfur dioxide can be formed during combustion
• state how sulfur and nitrogen oxides form acid rain
• describe some of the consequences of acid rain.</t>
  </si>
  <si>
    <t>• acid rain: rain which has a pH of less than about 5.6; it is caused when water and oxygen in the atmosphere react with sulfur dioxide to produce sulfuric acid or with various oxides of nitrogen, NOx, to give nitric acid
• impurities: unwanted substances found mixed into a useful substance
• pollutant: a substance that harms living organisms when released into the environment
• scrubbing: removing pollutant gases from the gases produced in a combustion reaction
• weathering: when rocks are broken up by physical, chemical or biological processes</t>
  </si>
  <si>
    <t>1. Heat no more than 0.3 g of sulfur in a deflagrating spoon until it melts, then ignites.
2. Place the spoon in a gas jar of oxygen, making sure that the deflagrating spoon lid covers the mouth of the gas jar.
3. Observe a blue flame and white clouds being produced.
4. When the reaction is complete and it has all cooled down, remove the spoon, add water to the jar and replace the gas jar lid.
5. Shake carefully to mix.
1. Put a small sample of a building material into the test tube.
2. Add dilute sulfuric acid until the test tube is about one-third full.
3. Observe and record what happens over the next 2 minutes, then wash out your test tube as directed by your teacher.
4. Repeat steps 1 – 3 with other building materials.</t>
  </si>
  <si>
    <t>Alkanes</t>
  </si>
  <si>
    <t>4.19 know the general formula for alkanes
4.20 explain why alkanes are classified as saturated hydrocarbons
4.21 understand how to draw the structural and displayed formulae for alkanes with up to five carbon atoms in the molecule, and to name the unbranched-chain isomers</t>
  </si>
  <si>
    <t>Pages 277–279</t>
  </si>
  <si>
    <t>Lesson 77 — Alkanes
Specification Points:
4.19 know the general formula for alkanes
4.20 explain why alkanes are classified as saturated hydrocarbons
4.21 understand how to draw the structural and displayed formulae for alkanes with up to five carbon atoms in the molecule, and to name the unbranched-chain isomers
Pages 277–279
Requisitions:
Practical Name: N/A
Practical Type: N/A
Equipment Required:
N/A
Chemicals Required: 
N/A
Safety Notes: 
N/A</t>
  </si>
  <si>
    <t>• state the general formula of the alkane homologous series
• deduce the molecular formula of an alkane using the general formula
• draw all isomers of alkanes up to five carbon atoms
• recognise unbranched alkanes from the molecular, structural or displayed formulae.</t>
  </si>
  <si>
    <t>• functional group: an atom or a group of atoms that determine the chemical properties of a compound
• homologous series: a series of compounds with similar chemical properties because they have the same functional group; each member differs from the next by –CH2– and members show a gradual change in properties</t>
  </si>
  <si>
    <t>Reactions of Alkanes</t>
  </si>
  <si>
    <t>4.12 know the possible products of complete and incomplete combustion of hydrocarbons with oxygen in the air
4.22 describe the reactions of alkanes with halogens in the presence of ultraviolet radiation, limited to mono-substitution (knowledge of reaction mechanisms is not required)</t>
  </si>
  <si>
    <t>Pages 279–280</t>
  </si>
  <si>
    <t>Carbon monoxide is a toxic gas that prevents the transport of oxygen around the
Carbon monoxide is toxic, meaning it can kill people.
Carbon monoxide is a toxic gas produced during</t>
  </si>
  <si>
    <t>Lesson 78 — Reactions of Alkanes
Specification Points:
4.12 know the possible products of complete and incomplete combustion of hydrocarbons with oxygen in the air
4.22 describe the reactions of alkanes with halogens in the presence of ultraviolet radiation, limited to mono-substitution (knowledge of reaction mechanisms is not required)
Pages 279–280
Requisitions:
Practical Name: N/A
Practical Type: N/A
Equipment Required:
N/A
Chemicals Required: 
N/A
Safety Notes: 
N/A</t>
  </si>
  <si>
    <t>• understand that alkanes can fully combust in air
• describe when incomplete combustion occurs
• understand the conditions for the reaction of alkanes with halogens
• write equations for the substitution reactions of alkanes.</t>
  </si>
  <si>
    <t>• complete combustion: the process of a hydrocarbon burning in sufficient oxygen, to produce only carbon dioxide and water as products
• incomplete combustion: the process of a hydrocarbon burning in insufficient oxygen, to produce carbon monoxide or carbon instead of carbon dioxide, as well as water
• mono-substitution: a substitution reaction in which only one hydrogen atom in an alkane is replaced by a halogen atom
• soot: black powder consisting largely of carbon
• ultraviolet radiation: the part of the electromagnetic radiation spectrum that has wavelengths between those of visible light and X-rays, which is invisible to the human eye</t>
  </si>
  <si>
    <t>Cracking</t>
  </si>
  <si>
    <t>4.17 describe how long-chain alkanes are converted to alkenes and shorter-chain alkanes by catalytic cracking (using silica or alumina as the catalyst and a temperature in the range of 600–700 °C)
4.18 explain why cracking is necessary, in terms of the balance between supply and demand for different fractions</t>
  </si>
  <si>
    <t>Pages 273–275 and 277–279</t>
  </si>
  <si>
    <t>Practical Name: Cracking
Practical Type: Demo
Equipment Required:
eye protection
four test tubes and bungs
test-tube rack
boiling tube
delivery tube and bung
stand
boss
clamp
mineral wool
broken porous pot
dropping pipette
trough
Chemicals Required:
liquid paraffin
0.002 mol/dm³ bromine water
Safety Notes:
Wear eye protection.
Paraffin oil and its products are highly flammable.
Bromine water is harmful.
Ensure lab is well ventilated.
If the delivery tube is left in the water, ‘suck-back’ will occur and cold water will damage the hot apparatus.</t>
  </si>
  <si>
    <t>• Wear eye protection.
• Paraffin oil and its products are highly flammable.
• Bromine water is harmful.
• Ensure lab is well ventilated.
• If the delivery tube is left in the water, ‘suck-back’ will occur and cold water will damage the hot apparatus.</t>
  </si>
  <si>
    <t>Lesson 79 — Cracking
Specification Points:
4.17 describe how long-chain alkanes are converted to alkenes and shorter-chain alkanes by catalytic cracking (using silica or alumina as the catalyst and a temperature in the range of 600–700 °C)
4.18 explain why cracking is necessary, in terms of the balance between supply and demand for different fractions
Pages 273–275 and 277–279
Requisitions:
Practical Name: Cracking
Practical Type: Demo
Equipment Required:
eye protection
four test tubes and bungs
test-tube rack
boiling tube
delivery tube and bung
stand
boss
clamp
mineral wool
broken porous pot
dropping pipette
trough
Chemicals Required: 
liquid paraffin
0.002 mol/dm3 bromine water
Safety Notes: 
Wear eye protection.
Paraffin oil and its products are highly flammable.
Bromine water is harmful.
Ensure lab is well ventilated.
If the delivery tube is left in the water, ‘suck-back’ will occur and cold water will damage the hot apparatus.
Notes:
Wear eye protection.
Paraffin oil and its products are highly flammable.
Bromine water is harmful.
Ensure lab is well ventilated.
Take care with hot apparatus. Do not touch hot equipment directly. Use tongs or heat-proof mats.
Carry out this work in a fume cupboard or well-ventilated area.
Handle glassware carefully. Report any breakages to the teacher immediately.</t>
  </si>
  <si>
    <t>• explain why there is a surplus of some fractions and a shortage of others
• explain why cracking is economically beneficial
• describe how cracking is carried out
• describe the products of cracking and their uses
• write equations for cracking reactions.</t>
  </si>
  <si>
    <t>• cracking: a process in which long-chain alkanes are converted to alkenes and shorter-chain alkanes; it is carried out using silica or alumina as a catalyst at a temperature of 600–700 °C
• polymer: a large molecule made when many small molecules (monomers) join together; it consists of many repeating units</t>
  </si>
  <si>
    <t>1. Place some mineral wool in the closed end of a boiling tube. Soak the mineral wool in paraffin oil. 5 cm³ should be enough – take care not to add more than the mineral wool can soak up.
2. Clamp the boiling tube horizontally, placing the clamp next to the mouth of the tube.
3. Place some broken pot in the middle of the tube.
4. Fit the delivery tube into the boiling tube, with the other end leading into a trough of water. The open end of the delivery tube must be under water.
5. Fill three test tubes with water. Hold one in the trough of water and turn it upside down so its mouth is still under water. Bubbles of gas collected during the experiment will push the water out and fill the test tube.
6. Heat the broken pot and the mineral wool, but hold the heat mainly under the broken pot.
7. As gas bubbles are produced, collect them using test tubes of water as shown in the diagram above.
8. Immediately before you stop heating, lift the delivery tube out of the water and do not let it go back in.
9. Add a little paraffin oil to the unused test tube and stopper it. Add a few drops of bromine water to this test tube and to the test tubes of collected gas. Shake the stoppered tubes and record your observations.</t>
  </si>
  <si>
    <t>Core Practical – Heat Changes In Reactions</t>
  </si>
  <si>
    <t xml:space="preserve">3.1	know that chemical reactions in which heat energy is given out are described as exothermic, and those in which heat energy is taken in are described as endothermic
3.2	describe simple calorimetry experiments for reactions such as dissolving
3.8	practical: investigate temperature changes accompanying some of the following types of change: 
• salts dissolving in water </t>
  </si>
  <si>
    <t>Pages 207, 209 and 216–217
Lab Book: Pages 24, 29–30</t>
  </si>
  <si>
    <t>Practical Name: Investigating temperature changes – dissolving
Practical Type: Student
Equipment Required:
eye protection
distilled water
250 cm³ beaker
lid for cup
measuring cylinder
polystyrene cup
thermometer
stirring rod
tripod
top pan balance
weighing boat
Chemicals Required:
ammonium chloride
Safety Notes:
Wear eye protection.
Ammonium chloride is harmful. Avoid contact with your skin.</t>
  </si>
  <si>
    <t>• Wear eye protection.
• Ammonium chloride is harmful. Avoid contact with your skin.</t>
  </si>
  <si>
    <t>Lesson 81 — Core Practical – Heat Changes In Reactions
Specification Points:
3.1	know that chemical reactions in which heat energy is given out are described as exothermic, and those in which heat energy is taken in are described as endothermic
3.2	describe simple calorimetry experiments for reactions such as dissolving
3.8	practical: investigate temperature changes accompanying some of the following types of change: 
• salts dissolving in water
Pages 207, 209 and 216–217
Lab Book: Pages 24, 29–30
Requisitions:
Practical Name: Investigating temperature changes – dissolving
Practical Type: Student
Equipment Required:
eye protection
distilled water
250 cm3 beaker
lid for cup
measuring cylinder
polystyrene cup
thermometer
stirring rod
tripod
top pan balance
weighing boat
Chemicals Required: 
ammonium chloride
Safety Notes: 
Wear eye protection.
Ammonium chloride is harmful. Avoid contact with your skin.
Notes:
Wear eye protection.
Ammonium chloride is harmful. Avoid contact with your skin.
Take care with hot apparatus. Do not touch hot equipment directly. Use tongs or heat-proof mats.</t>
  </si>
  <si>
    <t>• state that most reactions release heat energy, and these are called exothermic reactions
• state that some reactions absorb heat energy, and these are called endothermic reactions
• state that temperature change is used to identify these reaction types
• describe how heat changes in solution may be determined experimentally.</t>
  </si>
  <si>
    <t>• calorimetry: measuring the heat given out or taken in by a chemical reaction
• endothermic: reactions in which heat energy is taken in from the surroundings
• enthalpy change: the amount of energy taken in or given out in a chemical reaction; it has the symbol ∆H
• exothermic: reactions in which heat energy is given out to the surroundings</t>
  </si>
  <si>
    <t>1. Place the polystyrene cup into a glass beaker to make it more stable. Enclose (surround) the thermometer with a tripod to stop the cup and thermometer falling over.
2. Use a measuring cylinder to put 90 cm³ of distilled water into the polystyrene cup.
3. Take the temperature of the water and write this in your results table.
4. Weigh out 2.67 g of ammonium chloride and add this to the water in the polystyrene cup. Put the lid on the cup and mix gently using the stirring rod.
5. Keep stirring until the temperature stops dropping and starts to rise. Record the lowest temperature in your table.
6. When you have finished, rinse out your cup and measuring cylinder and repeat the experiment at least one time. If time is short, you could use results from other groups because everyone will have used the same amounts and the same strengths of solutions</t>
  </si>
  <si>
    <t>Core Practical – Measuring and Calculating Energy Changes</t>
  </si>
  <si>
    <t xml:space="preserve">3.2 describe simple calorimetry experiments for reactions such as neutralisation
3.3 calculate the heat energy change from a measured temperature change using the expression Q = mcΔT
3.4 calculate the molar enthalpy change (ΔH) from the heat energy change, Q
3.8 practical: investigate temperature changes accompanying some of the following types of change: 
• neutralisation reactions </t>
  </si>
  <si>
    <t>Pages 209–211 and 217–219
Lab Book: Pages 24–28</t>
  </si>
  <si>
    <t>Practical Name: Investigating temperature changes – neutralisation
Practical Type: Student
Equipment Required:
eye protection
250 cm³ beaker
lid for one cup with holes for stirring rod and thermometer
measuring cylinders
polystyrene cups (2)
thermometer
stirring rod
tripod
Chemicals Required:
1.0 mol/dm³ hydrochloric acid
1.0 mol/dm³ sodium hydroxide
Safety Notes:
Wear eye protection.
1.0 mol/dm³ sodium hydroxide is corrosive and very damaging to eyes.
Care is needed with solutions of acid. Wash off splashes immediately.</t>
  </si>
  <si>
    <t>• Wear eye protection.
• 1.0 mol/dm³ sodium hydroxide is corrosive and very damaging to eyes.
• Care is needed with solutions of acid. Wash off splashes immediately.
• Wear eye protection and disposable gloves.
• Take care with the hot, and cold, solutions.
• Both reactions produce hydrochloric acid, which is corrosive.
• It may help if students are told that the water, thermometer and boiling tube are part of the surroundings and that energy is transferred from or to the dissolving substance by heating.</t>
  </si>
  <si>
    <t>Lesson 82 — Core Practical – Measuring and Calculating Energy Changes
Specification Points:
3.2 describe simple calorimetry experiments for reactions such as neutralisation
3.3 calculate the heat energy change from a measured temperature change using the expression Q = mcΔT
3.4 calculate the molar enthalpy change (ΔH) from the heat energy change, Q
3.8 practical: investigate temperature changes accompanying some of the following types of change: 
• neutralisation reactions
Pages 209–211 and 217–219
Lab Book: Pages 24–28
Requisitions:
Practical Name: Investigating temperature changes – neutralisation 
Practical Type: Student
Equipment Required:
eye protection
250 cm3 beaker
lid for one cup with holes for stirring rod and thermometer
measuring cylinders
polystyrene cups (2)
thermometer
stirring rod
tripod
Chemicals Required: 
1.0 mol/dm3 hydrochloric acid
1.0 mol/dm3 sodium hydroxide
Safety Notes: 
Wear eye protection.
1.0 mol/dm3 sodium hydroxide is corrosive and very damaging to eyes.
Care is needed with solutions of acid. Wash off splashes immediately.
Notes:
Wear eye protection. 1.0 mol/dm³ sodium hydroxide is corrosive and very damaging to eyes.</t>
  </si>
  <si>
    <t>• calculate a heat change from temperature change data
• calculate the molar enthalpy change from the heat change
• describe the practical technique used to measure temperature change for neutralisation reactions.</t>
  </si>
  <si>
    <t>• enthalpy change: the amount of heat energy taken in or given out in a chemical reaction; it is the difference between the energy of products and the energy of the reactants
• specific heat capacity: the amount of heat needed to raise the temperature of 1 g of a substance by 1 °C</t>
  </si>
  <si>
    <t>1. Place one polystyrene cup into a glass beaker to make it more stable. Enclose (surround) the thermometer with a tripod to stop the cup and thermometer falling over.
2. Use a measuring cylinder to put 30 cm³ of 1.0 mol/dm³ hydrochloric acid into the polystyrene cup.
3. Wash out the measuring cylinder with water.
4. Take the temperature of the acid and write this in your results table. This should go in the column for experiment 1.
5. Use the measuring cylinder to put 40 cm³ of 1.0 mol/dm³ sodium hydroxide solution into a second polystyrene cup.
6. Remove 5 cm³ of sodium hydroxide solution from the 40 cm³ you measured out in step 5 .
7. Add this 5 cm³ to the polystyrene cup containing the acid. Put the lid on the cup containing the mixture and mix gently using the stirring rod.
8. Keep stirring until the temperature reaches a maximum and starts to fall. Record the highest temperature in your table.
9. Repeat steps 6 to 8 until all 40 cm³ of sodium hydroxide has been added.
10. When you have finished, rinse out your cups and measuring cylinders and repeat the experiment at least one time. If time is short, you could use results from other groups because everyone will have used the same amounts and the same strengths of solutions
1. Add some calcium chloride powder (approximately 2 spatulas) to some water in a boiling tube.
2. Stir gently with a thermometer and note the increase in temperature.
3. Repeat the demonstration but with ammonium chloride powder and note the decrease in temperature.</t>
  </si>
  <si>
    <t>Core Practical – Energy Level Diagrams</t>
  </si>
  <si>
    <t xml:space="preserve">3.2 describe simple calorimetry experiments for reactions such as displacement
3.3 calculate the heat energy change from a measured temperature change using the expression Q = mcΔT
3.4 calculate the molar enthalpy change (ΔH) from the heat energy change, Q  
3.5C draw and explain energy level diagrams to represent exothermic and endothermic reactions 
3.8 practical: investigate temperature changes accompanying some of the following types of change: 
• displacement reactions </t>
  </si>
  <si>
    <t>Pages 209–210 and 215–216
Lab Book: Pages 24, 31–33</t>
  </si>
  <si>
    <t>Practical Name: Investigating temperature changes – displacement
Practical Type: Student
Equipment Required:
eye protection
250 cm³ beaker
Stopwatches
lid for cup
measuring cylinder
thermometer
tripod
stirring rod
polystyrene cup
Chemicals Required:
1 mol/dm³ copper(II) sulfate
zinc powder
Safety Notes:
Wear eye protection.
Copper(II) sulfate is harmful and an irritant.
Zinc powder is flammable and hazardous to the environment.</t>
  </si>
  <si>
    <t>• Wear eye protection.
• Copper(II) sulfate is harmful and an irritant.
• Zinc powder is flammable and hazardous to the environment.</t>
  </si>
  <si>
    <t>Lesson 83 — Core Practical – Energy Level Diagrams
Specification Points:
3.2 describe simple calorimetry experiments for reactions such as displacement
3.3 calculate the heat energy change from a measured temperature change using the expression Q = mcΔT
3.4 calculate the molar enthalpy change (ΔH) from the heat energy change, Q  
3.5C draw and explain energy level diagrams to represent exothermic and endothermic reactions 
3.8 practical: investigate temperature changes accompanying some of the following types of change: 
• displacement reactions
Pages 209–210 and 215–216
Lab Book: Pages 24, 31–33
Requisitions:
Practical Name: Investigating temperature changes – displacement 
Practical Type: Student
Equipment Required:
eye protection
250 cm3 beaker 
Stopwatches
lid for cup
measuring cylinder
thermometer
tripod
stirring rod
polystyrene cup
Chemicals Required: 
1 mol/dm3 copper(II) sulfate
zinc powder
Safety Notes: 
Wear eye protection.
Copper(II) sulfate is harmful and an irritant.
Zinc powder is flammable and hazardous to the environment.
Notes:
Wear eye protection.
Copper(II) sulfate is harmful and an irritant.
Zinc powder is flammable and hazardous to the environment.</t>
  </si>
  <si>
    <t>• describe the practical technique to measure temperature change for displacement reactions
• state that in exothermic reactions the products contain less energy than the reactants
• state that in endothermic reactions the products contain more energy than the reactants
• draw and label energy level diagrams for exothermic and endothermic reactions.</t>
  </si>
  <si>
    <t>• exothermic reaction: a reaction that transfers energy to the surroundings, causing a temperature increase
• endothermic reaction: a reaction that takes in energy from the surroundings, causing a temperature decrease
• energy level diagram: a diagram showing the relative energy levels of reactants and products
• calorimetry: measuring the heat energy change during a chemical reaction</t>
  </si>
  <si>
    <t>1. Place the polystyrene cup into a glass beaker to make it more stable. Enclose the thermometer with a tripod to stop the cup and thermometer falling over.
2. Use a measuring cylinder to put 25 cm³ of 1 mol/dm³ copper(II) sulfate into the polystyrene cup.
3. Weigh out about 6 g of zinc powder. It is in excess so does not need to be weighed accurately. Do not add this yet.
4. Measure the temperature of the copper(II) sulfate solution every 30 seconds for 2.5 minutes.
5. Add the zinc to the copper(II) sulfate in the polystyrene cup after exactly 3 minutes. Put the lid on the cup and mix gently using the stirring rod.
6. Measure the temperature after 3.5 minutes and every 30 seconds afterwards for a total of 6 minutes.
7. When you have finished, rinse out your cup and measuring cylinder and repeat the experiment at least one time. If time is short, you could use results from other groups because everyone will have used the same amounts and the same strengths of solutions.</t>
  </si>
  <si>
    <t>Core Practical – Measuring Heat Change for Combustion Reactions</t>
  </si>
  <si>
    <t>3.2 describe simple calorimetry experiments for reactions such as combustion
3.3 calculate the heat energy change from a measured temperature change using the expression Q = mcΔT
3.4 calculate the molar enthalpy change (ΔH) from the heat energy change, Q
3.8 practical: investigate temperature changes accompanying some of the following types of change: 
• combustion reactions.</t>
  </si>
  <si>
    <t>Pages 211–214
Lab Book: Pages 24, 34–36</t>
  </si>
  <si>
    <t>Practical Name: Investigating temperature changes – combustion
Practical Type: Student
Equipment Required:
eye protection
10⁰ cm³ beaker
250 cm³ conical flask
heat-resistant mat
insulation/draught shield
clamp, stand and boss
thermometer
top pan balance
Chemicals Required:
spirit burners with caps containing ethanol, propanol, butanol and pentanol
Safety Notes:
Wear eye protection.
All alcohols are flammable and toxic: handle with care and keep the tops on burners when not in use.</t>
  </si>
  <si>
    <t>• Wear eye protection.
• All alcohols are flammable: handle with care and keep the tops on burners when not in use.</t>
  </si>
  <si>
    <t>Lesson 84 — Core Practical – Measuring Heat Change for Combustion Reactions
Specification Points:
3.2 describe simple calorimetry experiments for reactions such as combustion
3.3 calculate the heat energy change from a measured temperature change using the expression Q = mcΔT
3.4 calculate the molar enthalpy change (ΔH) from the heat energy change, Q
3.8 practical: investigate temperature changes accompanying some of the following types of change: 
• combustion reactions.
Pages 211–214
Lab Book: Pages 24, 34–36
Requisitions:
Practical Name: Investigating temperature changes – combustion
Practical Type: Student
Equipment Required:
eye protection
100 cm3 beaker
250 cm3 conical flask
heat-resistant mat
insulation/draught shield
clamp, stand and boss
thermometer
top pan balance
Chemicals Required: 
spirit burners with caps containing ethanol, propanol, butanol and pentanol
Safety Notes: 
Wear eye protection.
All alcohols are flammable and toxic: handle with care and keep the tops on burners when not in use.
Notes:
Wear eye protection.
All alcohols are flammable: handle with care and keep the tops on burners when not in use.
Take care with hot apparatus. Do not touch hot equipment directly. Use tongs or heat-proof mats.</t>
  </si>
  <si>
    <t>• describe a practical technique to measure temperature change for combustion reactions
• explain why a different technique is needed to measure the heat change in a combustion reaction
• explain why the heat change measured is inaccurate.</t>
  </si>
  <si>
    <t>• enthalpy change: the amount of energy taken in or given out in a chemical reaction; it has the symbol ∆H
• exothermic: reactions in which heat energy is given out to the surroundings</t>
  </si>
  <si>
    <t>1. Measure the mass of a spirit burner and cap. Record the mass in your results table.
2. Place the spirit burner in the centre of a heat-resistant mat.
3. Use a measuring cylinder to add 10⁰ cm³ of cold water to a conical flask.
4. Measure and record the initial temperature of the water and carefully clamp the flask above the spirit burner.
5. Surround the apparatus with a draught screen/insulation.
6. Remove the cap from the spirit burner, then light the wick and allow the water to heat up by around 40 °C.
7. Replace the cap on the burner and measure and record the final temperature of the water.
8. Measure the mass of the spirit burner and cap again and record this value.
9. Wash out the flask with cold water and repeat steps 1 to 8 using fresh cold water and a different alcohol.</t>
  </si>
  <si>
    <t>Bond Breaking and Bond Making</t>
  </si>
  <si>
    <t>3.6C know that bond-breaking is an endothermic process and that bond-making is an exothermic process</t>
  </si>
  <si>
    <t>Pages 219–220</t>
  </si>
  <si>
    <t>Practical Name: N/A
Practical Type: N/A
Equipment Required:
N/A
Chemicals Required:
N/A
Safety Notes:
N/A
Equipment (from lesson resources):
eye protection
lighter
Bunsen burner
heat-resistant mat</t>
  </si>
  <si>
    <t>Lesson 85 — Bond Breaking and Bond Making
Specification Points:
3.6C know that bond-breaking is an endothermic process and that bond-making is an exothermic process
Pages 219–220
Requisitions:
Practical Name: N/A
Practical Type: N/A
Equipment Required:
N/A
Chemicals Required: 
N/A
Safety Notes: 
N/A
Equipment (from lesson resources):
eye protection
lighter
Bunsen burner
heat-resistant mat
Notes:
Wear eye protection.</t>
  </si>
  <si>
    <t>• explain why bond breaking is endothermic
• explain why bond making is exothermic
• state the relationship between bond energy and bond strength.</t>
  </si>
  <si>
    <t>• bond breaking: the process of separating atoms in a chemical bond, which requires energy (endothermic)
• bond making: the process of forming new chemical bonds, which releases energy (exothermic)
• enthalpy change: the overall energy change during a chemical reaction</t>
  </si>
  <si>
    <t>1. Click lighter to produce a flame.
2. Use the flame to light a Bunsen burner on a yellow safety flame.</t>
  </si>
  <si>
    <t>Bond Energy Calculations</t>
  </si>
  <si>
    <t>3.7C use bond energies to calculate the enthalpy change during a chemical reaction</t>
  </si>
  <si>
    <t>Pages 219–222</t>
  </si>
  <si>
    <t>Practical Name: N/A
Practical Type: N/A
Equipment Required:
N/A
Chemicals Required:
N/A
Safety Notes:
N/A
Equipment (from lesson resources):
eye protection
party balloon filled with hydrogen
string
splint taped to the end of a 1 m rule
Bunsen burner
heat-resistant mat
power pack
leads and crocodile clips
Hoffmann voltameter filled with ‘water’ (1 mol/dm³
sulfuric acid or 2 mol/dm³
magnesium sulfate) with platinum
electrodes
two test tubes (to collect gases for testing, if desired)
splints (to test for gases, if desired)</t>
  </si>
  <si>
    <t>• Eye protection should be worn.
• Hydrogen is highly flammable. Do not carry out with a mix of hydrogen and oxygen.
• 1 mol/dm³ sulfuric acid is irritant, but 2 mol/dm³ magnesium sulfate is low hazard.</t>
  </si>
  <si>
    <t>Lesson 86 — Bond Energy Calculations
Specification Points:
3.7C use bond energies to calculate the enthalpy change during a chemical reaction
Pages 219–222
Requisitions:
Practical Name: N/A
Practical Type: N/A
Equipment Required:
N/A
Chemicals Required: 
N/A
Safety Notes: 
N/A
Equipment (from lesson resources):
eye protection
party balloon filled with hydrogen
string
splint taped to the end of a 1 m rule
Bunsen burner
heat-resistant mat
power pack
leads and crocodile clips
Hoffmann voltameter filled with ‘water’ (1 mol/dm³
sulfuric acid or 2 mol/dm³
magnesium sulfate) with platinum
electrodes
two test tubes (to collect gases for testing, if desired)
splints (to test for gases, if desired)
Notes:
Eye protection should be worn.
Hydrogen is highly flammable. Do not carry out with a mix of hydrogen and oxygen.</t>
  </si>
  <si>
    <t>• calculate a molar enthalpy change from bond energies
• calculate the energy required to break bonds in the reactant molecules
• calculate the energy released to make bonds in the product molecules
• calculate the net enthalpy change
• explain why a reaction is exothermic or endothermic in terms of bond energies.</t>
  </si>
  <si>
    <t>• bond energy: the amount of energy needed to break one mole of a particular covalent bond
• enthalpy change (ΔH): the difference between the energy needed to break bonds and the energy released when new bonds form</t>
  </si>
  <si>
    <t>1. Fill a party balloon with hydrogen (no air or oxygen inside).
2. Secure the balloon with string so that it is clear of objects and the ceiling.
3. Ignite the hydrogen by holding a lighted splint taped to a metre rule against the balloon.</t>
  </si>
  <si>
    <t>Reversible Reactions</t>
  </si>
  <si>
    <t>3.17 know that some reactions are reversible, and this is indicated by the symbol ⇌ in equations
3.18 describe reversible reactions such as the dehydration of hydrated copper(II) sulfate and the effect of heat on ammonium chloride</t>
  </si>
  <si>
    <t>Pages 240–241</t>
  </si>
  <si>
    <t>Practical Name: Reversible reaction demos
Practical Type: Demonstration
Equipment Required:
Test tubes, bungs, heat source
Chemicals Required:
Hydrated salts, cobalt chloride
Safety Notes:
Eye protection; some salts toxic
Additional equipment (lesson resources):
ammonium chloride solid
boiling tube
mineral wool plug
Bunsen burner
clamp and stand
heat-resistant mat</t>
  </si>
  <si>
    <t>• Wear eye protection at all times.
• Ammonium chloride is an irritant, wash it off your skin with plenty of water.
• Wear eye protection.
• Avoid getting copper(II) sulfate on your skin and wash your hands after the experiment.
• Copper(II) sulfate(VI)-5-water (powdered) is harmful. It is harmful if swallowed (especially saturated solutions for crystal growing); the solid may irritate the eyes and skin.
• Do not heat copper(II) sulfate strongly as it can decompose into sulfur oxides, which are toxic. Use a spirit burner if possible.
• Addition of water to anhydrous (white) copper(II) sulfate is exothermic. Do NOT hold the tube.</t>
  </si>
  <si>
    <t>Lesson 87 — Reversible Reactions
Specification Points:
3.17 know that some reactions are reversible, and this is indicated by the symbol ⇌ in equations
3.18 describe reversible reactions such as the dehydration of hydrated copper(II) sulfate and the effect of heat on ammonium chloride
Pages 240–241
Requisitions:
Practical Name: Reversible reaction demos
Practical Type: Demonstration
Equipment Required:
Test tubes, bungs, heat source
Chemicals Required: 
Hydrated salts, cobalt chloride
Safety Notes: 
Eye protection; some salts toxic
Additional equipment (lesson resources):
ammonium chloride solid
boiling tube
mineral wool plug
Bunsen burner
clamp and stand
heat-resistant mat
Notes:
Wear eye protection at all times.
Ammonium chloride is an irritant, wash it off your skin with plenty of water.
Take care with hot apparatus. Do not touch hot equipment directly. Use tongs or heat-proof mats.
Handle glassware carefully. Report any breakages to the teacher immediately.</t>
  </si>
  <si>
    <t>• state that reversible reactions are when the products react to produce the original reactants
• describe the reversible reactions of dehydration and hydration of copper(II) sulfate
• describe the observations of the reversible thermal decomposition of ammonium chloride.</t>
  </si>
  <si>
    <t>• reversible reaction: a reaction that can proceed in both the forward and backward directions
• equilibrium: the state in a reversible reaction when the rate of the forward reaction equals the rate of the backward reaction
• hydrated: containing water molecules within the crystal structure
• anhydrous: without water of crystallisation</t>
  </si>
  <si>
    <t>1. Place ammonium chloride in a boiling tube to a depth of 1 cm.
2. Place a loose plug of mineral wool in the mouth of the boiling tube.
3. Set up the boiling tube in a clamp and stand as shown in the diagram in the worksheet.
4. Heat the ammonium chloride at the base of the boiling tube for 2 minutes.
5. Observe and record what happens during the reaction.
1. Add the pre-weighed hydrated copper(II) sulfate to the boiling tube. Insert the bung that is connected to the delivery tube.
2. Clamp the boiling tube as shown in the diagram so that the other end of the delivery tube is in the beaker.
3. Use the Bunsen burner to heat the copper(II) sulfate gently until it has finished changing colour. Move the flame up and down the length of the boiling tube as you heat it.
4. Allow the boiling tube to cool back to room temperature.
5. Once the boiling tube is cool, place it in a test-tube rack and pour the liquid collected in the tube in the beaker into the tube containing the cooled solid. Do not hold the tube.
6. Note down your observations.</t>
  </si>
  <si>
    <t>Equilibrium</t>
  </si>
  <si>
    <t>3.19C know that a reversible reaction can reach dynamic equilibrium in a sealed container
3.20C know that the characteristics of a reaction at dynamic equilibrium are: 
• the forward and reverse reactions occur at the same rate 
• the concentrations of reactants and products remain constant.</t>
  </si>
  <si>
    <t>Pages 241–242</t>
  </si>
  <si>
    <t>Lesson 88 — Equilibrium
Specification Points:
3.19C know that a reversible reaction can reach dynamic equilibrium in a sealed container
3.20C know that the characteristics of a reaction at dynamic equilibrium are: 
• the forward and reverse reactions occur at the same rate 
• the concentrations of reactants and products remain constant.
Pages 241–242
Requisitions:
Practical Name: N/A
Practical Type: N/A
Equipment Required:
N/A
Chemicals Required: 
N/A
Safety Notes: 
N/A</t>
  </si>
  <si>
    <t>• explain the term dynamic equilibrium
• explain why it takes time for a system to reach equilibrium
• describe the conditions under which a reversible reaction can reach equilibrium.</t>
  </si>
  <si>
    <t>• closed system: when substances cannot enter or leave an observed environment, e.g., a stoppered test tube
• dynamic equilibrium: when the forward and backward reactions in a reversible chemical reaction are occurring at the same rate
• forward reaction: from reactants to products (the left-to-right reaction)
• open system: a system into or from which substances can enter or leave, such as a reaction inside an open test tube
• reverse reaction: from products to reactants (the right-to-left reaction); the reverse reaction is also known as the backward reaction</t>
  </si>
  <si>
    <t>Changes in Position of Equilibrium</t>
  </si>
  <si>
    <t>3.22C know the effect of changing either temperature or pressure on the position of equilibrium in a reversible reaction:
• an increase (or decrease) in temperature shifts the position of equilibrium in the direction of the endothermic (or exothermic) reaction
• an increase (or decrease) in pressure shifts the position of equilibrium in the direction that produces fewer (or more) moles of gas (references to Le Chatelier's principle are not required)</t>
  </si>
  <si>
    <t>Pages 242–246</t>
  </si>
  <si>
    <t>Lesson 89 — Changes in Position of Equilibrium
Specification Points:
3.22C know the effect of changing either temperature or pressure on the position of equilibrium in a reversible reaction:
• an increase (or decrease) in temperature shifts the position of equilibrium in the direction of the endothermic (or exothermic) reaction
• an increase (or decrease) in pressure shifts the position of equilibrium in the direction that produces fewer (or more) moles of gas (references to Le Chatelier's principle are not required)
Pages 242–246
Requisitions:
Practical Name: N/A
Practical Type: N/A
Equipment Required:
N/A
Chemicals Required: 
N/A
Safety Notes: 
N/A</t>
  </si>
  <si>
    <t>• explain the term position of equilibrium
• explain how a change in temperature will affect the position of equilibrium
• explain how a change in pressure may affect the position of equilibrium
• explain the change in position of equilibrium, if any, as temperature and pressure are altered.</t>
  </si>
  <si>
    <t>• position of equilibrium: a reference to the proportion of the various things in an equilibrium mixture; if the position of equilibrium of a reaction lies towards the right, the equilibrium mixture contains a higher proportion of products than reactants
• pressure: the force acting on something per unit area; pressure has the SI unit of Pa (N/m²) and is caused by molecules hitting the wall of their container</t>
  </si>
  <si>
    <t>Choosing Conditions for Maximum Equilibrium Yield</t>
  </si>
  <si>
    <t>Pages 243–246</t>
  </si>
  <si>
    <t>Lesson 90 — Choosing Conditions for Maximum Equilibrium Yield
Specification Points:
3.22C know the effect of changing either temperature or pressure on the position of equilibrium in a reversible reaction:
• an increase (or decrease) in temperature shifts the position of equilibrium in the direction of the endothermic (or exothermic) reaction
• an increase (or decrease) in pressure shifts the position of equilibrium in the direction that produces fewer (or more) moles of gas (references to Le Chatelier's principle are not required)
Pages 243–246
Requisitions:
Practical Name: N/A
Practical Type: N/A
Equipment Required:
N/A
Chemicals Required: 
N/A
Safety Notes: 
N/A</t>
  </si>
  <si>
    <t>• predict whether a higher or lower temperature gives the better yield
• predict whether a higher or lower pressure gives a better yield
• justify a temperature and pressure chosen for an industrial process in terms of yield, rate and cost.</t>
  </si>
  <si>
    <t>• equilibrium yield: the amount of product formed when a reversible reaction reaches equilibrium
• Le Chatelier's principle: if a change is made to the conditions of a system at equilibrium, the position of equilibrium shifts to counteract the change
• position of equilibrium: indicates whether the forward or backward reaction is favoured</t>
  </si>
  <si>
    <t>Catalysts in Equilibria</t>
  </si>
  <si>
    <t>3.21C understand why a catalyst does not affect the position of equilibrium in a reversible reaction</t>
  </si>
  <si>
    <t>Pages 235–238</t>
  </si>
  <si>
    <t>Lesson 91 — Catalysts in Equilibria
Specification Points:
3.21C understand why a catalyst does not affect the position of equilibrium in a reversible reaction
Pages 235–238
Requisitions:
Practical Name: N/A
Practical Type: N/A
Equipment Required:
N/A
Chemicals Required: 
N/A
Safety Notes: 
N/A</t>
  </si>
  <si>
    <t>• state that a catalyst does not affect the position of equilibrium
• state why catalysts are used in industrial processes
• explain all the conditions used in an industrial process.</t>
  </si>
  <si>
    <t>• catalyst: a substance that increases the rate of a reaction without being chemically changed
• equilibrium: the state where the forward and reverse reactions occur at the same rate
• rate of reaction: the speed at which reactants are converted into products</t>
  </si>
  <si>
    <t>where you would put the Bunsen burner?
where the distillate is collected?
the condenser?
where tap water goes into the condenser?
where tap water comes out of the condenser?
where water vapour is rising?</t>
  </si>
  <si>
    <t>Alkenes</t>
  </si>
  <si>
    <t>4.23 know that alkenes contain the functional group &gt;C=C&lt;
4.24 know the general formula for alkenes
4.25 explain why alkenes are classified as unsaturated hydrocarbons     
4.26	understand how to draw the structural and displayed formulae for alkenes with up to four carbon atoms in the molecule, and name the unbranched-chain isomers (knowledge of cis/trans or E/Z notation is not required)</t>
  </si>
  <si>
    <t>Pages 282–283</t>
  </si>
  <si>
    <t>Lesson 92 — Alkenes
Specification Points:
4.23 know that alkenes contain the functional group &gt;C=C&lt;
4.24 know the general formula for alkenes
4.25 explain why alkenes are classified as unsaturated hydrocarbons     
4.26	understand how to draw the structural and displayed formulae for alkenes with up to four carbon atoms in the molecule, and name the unbranched-chain isomers (knowledge of cis/trans or E/Z notation is not required)
Pages 282–283
Requisitions:
Practical Name: N/A
Practical Type: N/A
Equipment Required:
N/A
Chemicals Required: 
N/A
Safety Notes: 
N/A</t>
  </si>
  <si>
    <t>• explain why alkenes are classified as unsaturated hydrocarbons
• identify an alkene from the molecular formula
• draw the structural and displayed formulae of unbranched alkenes.</t>
  </si>
  <si>
    <t>• alkene: an unsaturated hydrocarbon containing a carbon-carbon double bond (C=C)
• unsaturated: a molecule that contains at least one carbon-carbon double bond
• general formula: a formula that represents any member of a homologous series; for alkenes it is CₙH₂ₙ
• functional group: the reactive part of a molecule; in alkenes this is the C=C double bond</t>
  </si>
  <si>
    <t>Reactions of Alkenes</t>
  </si>
  <si>
    <t>4.12 know the possible products of complete and incomplete combustion of hydrocarbons with oxygen in the air
4.27 describe the reactions of alkenes with bromine to produce dibromoalkanes
4.28 describe how bromine water can be used to distinguish between an alkane and an alkene</t>
  </si>
  <si>
    <t>Pages 283–284</t>
  </si>
  <si>
    <t>Practical Name: Test For Unsaturation
Practical Type: Demo
Equipment Required:
eye protection
2 boiling tubes or test tubes
boiling-tube or test-tube rack
dropping pipette
Chemicals Required:
dilute bromine water (0.02 mol/dm³)
cyclohexane
cyclohexene
Safety Notes:
Wear eye protection.
Cyclohexane and cyclohexene are highly flammable; there must not be any naked flames in the laboratory.
These chemicals are also harmful. Bromine water is harmful at this concentration (0.02 mol/dm³).</t>
  </si>
  <si>
    <t>• Wear eye protection.
• Cyclohexane and cyclohexene are highly flammable; there must not be any naked flames in the laboratory.
• These chemicals are also harmful. Bromine water is harmful at this concentration (0.02 mol/dm³ ).</t>
  </si>
  <si>
    <t>Lesson 93 — Reactions of Alkenes
Specification Points:
4.12 know the possible products of complete and incomplete combustion of hydrocarbons with oxygen in the air
4.27 describe the reactions of alkenes with bromine to produce dibromoalkanes
4.28 describe how bromine water can be used to distinguish between an alkane and an alkene
Pages 283–284
Requisitions:
Practical Name: Test For Unsaturation
Practical Type: Demo
Equipment Required:
eye protection
2 boiling tubes or test tubes
boiling-tube or test-tube rack
dropping pipette
Chemicals Required: 
dilute bromine water (0.02 mol/dm3)
cyclohexane
cyclohexene
Safety Notes: 
Wear eye protection.
Cyclohexane and cyclohexene are highly flammable; there must not be any naked flames in the laboratory.
These chemicals are also harmful. Bromine water is harmful at this concentration (0.02 mol/dm3).
Notes:
Must be carried out in a fume cupboard.
Wear eye protection.
Cyclohexane and cyclohexene are highly flammable; there must not be any naked flames in the laboratory.
These chemicals are also harmful. Bromine water is harmful at this concentration (0.02 mol/dm³ ).
Take care with hot apparatus. Do not touch hot equipment directly. Use tongs or heat-proof mats.
Handle glassware carefully. Report any breakages to the teacher immediately.</t>
  </si>
  <si>
    <t>• state that alkenes can combust in air
• state that alkanes cannot undergo addition reactions, but alkenes can
• write equations, including using structural formulae, for addition reactions
• describe how to distinguish between an alkane and an alkene.</t>
  </si>
  <si>
    <t>• addition reaction: a reaction in which atoms are added across a double bond in an unsaturated molecule
• dibromoalkane: the product formed when bromine reacts with an alkene
• bromine water test: a test to distinguish between alkanes and alkenes; alkenes decolourise bromine water
• combustion: a reaction in which a substance reacts with oxygen, releasing heat and light</t>
  </si>
  <si>
    <t>1. Place about 10 drops of cyclohexane into a boiling tube or test tube.
2. Add about 10 drops of bromine water to this. Tap the tube with your finger so that the cyclohexane and bromine water mix.
3. Repeat the procedure for cyclohexene in a separate tube.</t>
  </si>
  <si>
    <t xml:space="preserve">Alcohols </t>
  </si>
  <si>
    <t xml:space="preserve">4.29C know that alcohols contain the functional group −OH
4.30C understand how to draw structural and displayed formulae for methanol, ethanol, propanol (propan-1-ol only) and butanol (butan-1-ol only), and name each compound the names propanol and butanol are acceptable
4.31C know that ethanol can be oxidised by: 
• burning in air or oxygen (complete combustion) 
• reaction with oxygen in the air to form ethanoic acid (microbial oxidation) 
• heating with potassium dichromate(VI) in dilute sulfuric acid to form ethanoic acid </t>
  </si>
  <si>
    <t>Pages 287–290</t>
  </si>
  <si>
    <t>Practical Name: Combustion/oxidation of Alcohols
Practical Type: Demo
Equipment Required:
eye protection
10⁰ cm³ measuring cylinder
250 cm³ conical flask or copper calorimeter
stand, boss head and clamp
heat-resistant mat
thermometer
two heat mats to use as insulation/draught shields
electronic balance
Chemicals Required:
spirit burners with lids containing ethanol, propanol, butanol and pentanol
Safety Notes:
Wear eye protection at all times. All alcohols are flammable. Handle the alcohols with care and keep the tops on burners when not in use.
Additional equipment (lesson resources):
watch glass
splint
Bunsen burner
tongs</t>
  </si>
  <si>
    <t>• Wear eye protection at all times.
• All alcohols are highly flammable – handle with care and keep bottles away from flames.</t>
  </si>
  <si>
    <t>Lesson 95 — Alcohols
Specification Points:
4.29C know that alcohols contain the functional group −OH
4.30C understand how to draw structural and displayed formulae for methanol, ethanol, propanol (propan-1-ol only) and butanol (butan-1-ol only), and name each compound the names propanol and butanol are acceptable
4.31C know that ethanol can be oxidised by: 
• burning in air or oxygen (complete combustion) 
• reaction with oxygen in the air to form ethanoic acid (microbial oxidation) 
• heating with potassium dichromate(VI) in dilute sulfuric acid to form ethanoic acid
Pages 287–290
Requisitions:
Practical Name: Combustion/oxidation of Alcohols
Practical Type: Demo
Equipment Required:
eye protection
100 cm3 measuring cylinder
250 cm3 conical flask or copper calorimeter
stand, boss head and clamp
heat-resistant mat
thermometer
two heat mats to use as insulation/draught shields
electronic balance
Chemicals Required: 
spirit burners with lids containing ethanol, propanol, butanol and pentanol
Safety Notes: 
Wear eye protection at all times. All alcohols are flammable. Handle the alcohols with care and keep the tops on burners when not in use.
Additional equipment (lesson resources):
watch glass
splint
Bunsen burner
tongs
Notes:
Wear eye protection at all times.
All alcohols are highly flammable – handle with care and keep bottles away from flames.
Take care with hot apparatus. Do not touch hot equipment directly. Use tongs or heat-proof mats.</t>
  </si>
  <si>
    <t>• state that alcohols contain the functional group &amp;minus;OH
• identify an alcohol from a structural formula
• draw the structures of the first four alcohols
• state that alcohols burn in air
• explain why alcohols can be used as fuels.</t>
  </si>
  <si>
    <t>• biofuel: a fuel that is made from biological sources, such as sugar cane or corn
• non-renewable resource: a finite resource that cannot be replaced, at least not for millions of years</t>
  </si>
  <si>
    <t>1. Place a few drops of ethanol on a watch glass on a heat-resistant mat.
2. Light the ethanol with a lit splint.
3. Observe how easily the ethanol catches fire and the nature of the flame formed.
4. Carefully using tongs, show the class the watch glass. It will not show any indication that anything is present.</t>
  </si>
  <si>
    <t>Manufacturing Ethanol by Hydration</t>
  </si>
  <si>
    <t>4.32C know that ethanol can be manufactured by: 
• reacting ethene with steam in the presence of a phosphoric acid catalyst at a temperature of about 300 °C and a pressure of about 60–70 atm 
• the fermentation of glucose, in the absence of air, at an optimum temperature of about 30 °C and using the enzymes in yeast</t>
  </si>
  <si>
    <t>Pages 287–291</t>
  </si>
  <si>
    <t>Lesson 97 — Manufacturing Ethanol by Hydration
Specification Points:
4.32C know that ethanol can be manufactured by: 
• reacting ethene with steam in the presence of a phosphoric acid catalyst at a temperature of about 300 °C and a pressure of about 60–70 atm 
• the fermentation of glucose, in the absence of air, at an optimum temperature of about 30 °C and using the enzymes in yeast
Pages 287–291
Requisitions:
Practical Name: N/A
Practical Type: N/A
Equipment Required:
N/A
Chemicals Required: 
N/A
Safety Notes: 
N/A</t>
  </si>
  <si>
    <t>• explain how ethanol is manufactured by hydration of ethene
• state the conditions used in this process
• list some of the uses of alcohols.</t>
  </si>
  <si>
    <t>• feedstock: a raw material which is used to provide reactants in industrial reactions
• hydration: the addition of water molecules to an unsaturated molecule, for example converting ethene to ethanol</t>
  </si>
  <si>
    <t>Lesson 98</t>
  </si>
  <si>
    <t>Fermentation</t>
  </si>
  <si>
    <t>4.32C know that ethanol can be manufactured by: 
• reacting ethene with steam in the presence of a phosphoric acid catalyst at a temperature of about 300 °C and a pressure of about 60–70 atm 
• the fermentation of glucose, in the absence of air, at an optimum temperature of about 30 °C and using the enzymes in yeast
4.33C understand the reasons for fermentation, in the absence of air, and at an optimum temperature</t>
  </si>
  <si>
    <t>Pages 288–289</t>
  </si>
  <si>
    <t>Practical Name: Investigating the preparation of ethanol by fermentation
Practical Type: Student
Equipment Required:
10⁰ cm³ conical flask
delivery tube in a bung
thermometer
50 cm³ measuring cylinder
10 cm³ measuring cylinder
water bath (set at 35 °C) for the conical flask
plastic trough
stand and clamp
Chemicals Required:
fast-acting yeast suspension (wine yeast is usually best)
range of glucose solutions (e.g. 1.0, 2.5, 5.0, 7.5, 10.0 and 15.0%)
Safety Notes:
Eye protection should be worn at all times.
Students should not taste any of the solutions or products.</t>
  </si>
  <si>
    <t>Eye protection should be worn at all times.
Take care with hot apparatus. Do not touch hot equipment directly. Use tongs or heat-proof mats.
Ethanol/spirit is flammable. Keep away from naked flames and sources of ignition.
Handle glassware carefully. Report any breakages to the teacher immediately.</t>
  </si>
  <si>
    <t>Lesson 98 — Fermentation
Specification Points:
4.32C know that ethanol can be manufactured by: 
• reacting ethene with steam in the presence of a phosphoric acid catalyst at a temperature of about 300 °C and a pressure of about 60–70 atm 
• the fermentation of glucose, in the absence of air, at an optimum temperature of about 30 °C and using the enzymes in yeast
4.33C understand the reasons for fermentation, in the absence of air, and at an optimum temperature
Pages 288–289
Requisitions:
Practical Name: Investigating the preparation of ethanol by fermentation
Practical Type: Student
Equipment Required:
100 cm3 conical flask
delivery tube in a bung
thermometer
50 cm3 measuring cylinder
10 cm3 measuring cylinder
water bath (set at 35 °C) for the conical flask
plastic trough
stand and clamp
Chemicals Required: 
fast-acting yeast suspension (wine yeast is usually best)
range of glucose solutions (e.g. 1.0, 2.5, 5.0, 7.5, 10.0 and 15.0%)
Safety Notes: 
Eye protection should be worn at all times.
Students should not taste any of the solutions or products.
Notes:
Eye protection should be worn at all times.
Take care with hot apparatus. Do not touch hot equipment directly. Use tongs or heat-proof mats.
Ethanol/spirit is flammable. Keep away from naked flames and sources of ignition.
Handle glassware carefully. Report any breakages to the teacher immediately.</t>
  </si>
  <si>
    <t>• explain how ethanol is manufactured by fermentation
• describe the conditions used in this process
• compare and contrast the two methods of manufacturing ethanol, fermentation and hydration.</t>
  </si>
  <si>
    <t>• carbohydrates: a group of compounds made of carbon, hydrogen and oxygen; sugars and starch are examples of carbohydrates
• denatured: structural changes in an enzyme which lead to the loss of function, usually caused by changes in temperature or pH
• enzymes: biological catalyst, usually consisting of a protein
• fermentation: converting a sugar such as glucose into ethanol and carbon dioxide using enzymes in yeasts
• sugar: soluble carbohydrate made up of small molecules, e.g., glucose, which has the formula C6H12O6</t>
  </si>
  <si>
    <t>**Teaching session**
Slideshow: Making ethanol by
 fermentation
Worksheet 1: Practical method</t>
  </si>
  <si>
    <t>Carboxylic Acids</t>
  </si>
  <si>
    <t>4.34C know that carboxylic acids contain the functional group
4.35C understand how to draw structural and displayed formulae for unbranched-chain carboxylic acids with up to four carbon atoms in the molecule, and name each compound
4.31C know that ethanol can be oxidised by: 
• burning in air or oxygen (complete combustion) 
• reaction with oxygen in the air to form ethanoic acid (microbial oxidation) 
• heating with potassium dichromate(VI) in dilute sulfuric acid to form ethanoic acid</t>
  </si>
  <si>
    <t>Pages 293–295</t>
  </si>
  <si>
    <t>Lesson 99 — Carboxylic Acids
Specification Points:
4.34C know that carboxylic acids contain the functional group
4.35C understand how to draw structural and displayed formulae for unbranched-chain carboxylic acids with up to four carbon atoms in the molecule, and name each compound
4.31C know that ethanol can be oxidised by: 
• burning in air or oxygen (complete combustion) 
• reaction with oxygen in the air to form ethanoic acid (microbial oxidation) 
• heating with potassium dichromate(VI) in dilute sulfuric acid to form ethanoic acid
Pages 293–295
Requisitions:
Practical Name: No practical work
Practical Type: N/A
Equipment Required:
N/A
Chemicals Required: 
N/A
Safety Notes: 
N/A</t>
  </si>
  <si>
    <t>• identify a carboxylic acid from a structural formula
• draw the structures of the first four carboxylic acids
• name carboxylic acids
• describe how carboxylic acids are formed.</t>
  </si>
  <si>
    <t>• carboxylic acid: an organic compound containing the functional group -COOH
• ethanoic acid: a carboxylic acid with the formula CH₃COOH
• oxidation: a reaction involving the gain of oxygen or loss of electrons
• functional group: the part of a molecule responsible for its chemical reactions</t>
  </si>
  <si>
    <t>Reactions of Carboxylic Acids</t>
  </si>
  <si>
    <t>4.37C know that vinegar is an aqueous solution containing ethanoic acid
4.36C describe the reactions of aqueous solutions of carboxylic acids with metals and metal carbonates</t>
  </si>
  <si>
    <t>Pages 289–295</t>
  </si>
  <si>
    <t>Practical Name: Properties &amp; reactions of carboxylic acids
Practical Type: Student practical
Equipment Required:
Eye protection, test tubes, bungs &amp; delivery tubes, basin/troughs, spatulas, racks, splints, universal indicator
Chemicals Required:
Dilute methanoic, ethanoic, propanoic acids (2.0 M); limewater; Mg ribbon; Na₂CO₃
Safety Notes:
Eye protection; acids irritants; clean spills; Mg flammable</t>
  </si>
  <si>
    <t>• Wear eye protection at all times.
• At these concentrations, the dilute methanoic, ethanoic and propanoic acids are all irritants.
• All splashes and spills should be cleaned up immediately.
• The magnesium ribbon is highly flammable and should be kept away from flames.</t>
  </si>
  <si>
    <t>Lesson 100 — Reactions of Carboxylic Acids
Specification Points:
4.37C know that vinegar is an aqueous solution containing ethanoic acid
4.36C describe the reactions of aqueous solutions of carboxylic acids with metals and metal carbonates
Pages 289–295
Requisitions:
Practical Name: Properties &amp; reactions of carboxylic acids
Practical Type: Student practical
Equipment Required:
Eye protection, test tubes, bungs &amp; delivery tubes, basin/troughs, spatulas, racks, splints, universal indicator
Chemicals Required: 
Dilute methanoic, ethanoic, propanoic acids (2.0 M); limewater; Mg ribbon; Na₂CO₃
Safety Notes: 
Eye protection; acids irritants; clean spills; Mg flammable
Notes:
Wear eye protection at all times.
At these concentrations, the dilute methanoic, ethanoic and propanoic acids are all irritants.
All splashes and spills should be cleaned up immediately.
The magnesium ribbon is highly flammable and should be kept away from flames.
Handle glassware carefully. Report any breakages to the teacher immediately.</t>
  </si>
  <si>
    <t>• explain why carboxylic acids behave as acids
• state that vinegar is impure, aqueous ethanoic acid
• describe the typical acid reactions with metals and metal carbonates.</t>
  </si>
  <si>
    <t>• vinegar: an aqueous solution containing ethanoic acid
• neutralisation: a reaction between an acid and a base to form a salt and water
• salt: a compound formed when the hydrogen of an acid is replaced by a metal or ammonium ion</t>
  </si>
  <si>
    <t>1. Place a lighted taper near the mouth of the test tube.
2. Add 2 cm depth of lime water to the test tube and shake.</t>
  </si>
  <si>
    <t>Esters</t>
  </si>
  <si>
    <t xml:space="preserve">4.38C know that esters contain the functional group 
4.39C know that ethyl ethanoate is the ester produced when ethanol and ethanoic acid react in the presence of an acid catalyst
4.40C understand how to write the structural and displayed formulae of ethyl ethanoate
4.41C understand how to write the structural and displayed formulae of an ester, given the name or formula of the alcohol and carboxylic acid from which it is formed and vice versa
4.42C know that esters are volatile compounds with distinctive smells and are used as food flavourings and in perfumes
</t>
  </si>
  <si>
    <t>Pages 298–299</t>
  </si>
  <si>
    <t>Lesson 103 — Esters
Specification Points:
4.38C know that esters contain the functional group 
4.39C know that ethyl ethanoate is the ester produced when ethanol and ethanoic acid react in the presence of an acid catalyst
4.40C understand how to write the structural and displayed formulae of ethyl ethanoate
4.41C understand how to write the structural and displayed formulae of an ester, given the name or formula of the alcohol and carboxylic acid from which it is formed and vice versa
4.42C know that esters are volatile compounds with distinctive smells and are used as food flavourings and in perfumes
Pages 298–299
Requisitions:
Practical Name: No practical work
Practical Type: N/A
Equipment Required:
N/A
Chemicals Required: 
N/A
Safety Notes: 
N/A</t>
  </si>
  <si>
    <t>• identify esters from their structural or displayed formulae
• know how esters are made by reacting alcohols with carboxylic acids
• be able to deduce the formula of an ester formed from a named alcohol and named carboxylic acid
• know some properties and uses of esters.</t>
  </si>
  <si>
    <t>• condensation reaction: a chemical reaction in which two molecules combine to form a larger molecule with elimination of a small molecule such as water
• esterification: a chemical reaction in which an alcohol and a carboxylic acid react together to form an ester</t>
  </si>
  <si>
    <t>Preparing Esters</t>
  </si>
  <si>
    <t>4.43C practical: prepare a sample of an ester such as ethyl ethanoate</t>
  </si>
  <si>
    <t>Page 300
Lab Book: Pages 45–46</t>
  </si>
  <si>
    <t>Practical Name: Preparation of ethyl ethanoate
Practical Type: Student practical
Equipment Required:
Eye protection, beakers (10⁰ &amp; 250 cm³), cotton wool, kettle/water bath, pipettes, thermometer
Chemicals Required:
Conc. ethanoic acid, conc. H₂SO₄, ethanol, 0.1 M Na₂CO₃
Safety Notes:
Eye protection; gloves; conc. H₂SO₄ corrosive (fume cupboard); ethanol flammable; ester flammable/irritant</t>
  </si>
  <si>
    <t>• Wear eye protection.
• Gloves may be worn in this practical.
• Concentrated sulfuric acid is highly corrosive. Your teacher may add this to your experiment. You might be asked to work in a fume cupboard.
• Concentrated ethanoic acid is corrosive. Your teacher will dispense ethanoic acid in a fume cupboard.
• Ethanol is flammable and harmful. Keep it away from sources of ignition.
• Ethyl ethanoate is flammable and an irritant. Keep it away from sources of ignition.
• Hold the beaker at arm’s length when smelling the ester and waft the smell towards you. If you cannot smell it, move the beaker a little closer and repeat.
• If your teacher provides you with other substances to make different esters, they will provide additional safety guidance if required.</t>
  </si>
  <si>
    <t>Lesson 104 — Preparing Esters
Specification Points:
4.43C practical: prepare a sample of an ester such as ethyl ethanoate
Page 300
Lab Book: Pages 45–46
Requisitions:
Practical Name: Preparation of ethyl ethanoate
Practical Type: Student practical
Equipment Required:
Eye protection, beakers (100 &amp; 250 cm³), cotton wool, kettle/water bath, pipettes, thermometer
Chemicals Required: 
Conc. ethanoic acid, conc. H₂SO₄, ethanol, 0.1 M Na₂CO₃
Safety Notes: 
Eye protection; gloves; conc. H₂SO₄ corrosive (fume cupboard); ethanol flammable; ester flammable/irritant
Notes:
Wear eye protection.
Gloves may be worn in this practical.
Concentrated sulfuric acid is highly corrosive. Your teacher may add this to your experiment. You might be asked to work in a fume cupboard.
Concentrated ethanoic acid is corrosive. Your teacher will dispense ethanoic acid in a fume cupboard.
Ethanol is flammable and harmful. Keep it away from sources of ignition.
Ethyl ethanoate is flammable and an irritant. Keep it away from sources of ignition.
Take care with hot apparatus. Do not touch hot equipment directly. Use tongs or heat-proof mats.</t>
  </si>
  <si>
    <t>• describe the practical details of how an ester is made
• manage the hazards involved in an organic preparation
• write equations for ester formations.</t>
  </si>
  <si>
    <t>1. Your teacher will place one drop of concentrated sulfuric acid into a test tube and pass the tube to you.
2. Add 10 drops of ethanol into the test tube containing the acid.
3. Your teacher will dispense (give out) 10 drops of concentrated ethanoic acid into your test tube.
4. Place cotton wool inside the top of the test tube to prevent any vapours from escaping.
5. Pour approximately 10⁰ cm³ of hot water from the kettle into a large beaker. Place the test tube into the beaker. Alternatively, you may have access to a water bath. If you use a water bath, ensure your tube is marked in some way to identify it from others.
6. Pour 25 cm³ sodium carbonate solution into a small beaker.
7. After 10 minutes, remove the test tube from the hot water and pour the contents of the test tube into the sodium carbonate solution in the small beaker.
8. Smell the ester that has been produced by carefully wafting the vapours towards you. Your teacher will show you how to smell substances in a science laboratory.
9. Complete the results table for this ester. Your teacher may provide you with additional substances to make different esters.</t>
  </si>
  <si>
    <t>Addition Polymers</t>
  </si>
  <si>
    <t>4.44 know that an addition polymer is formed by joining up many small molecules called monomers
4.45 understand how to draw the repeat unit of an addition polymer, including poly(ethene), poly(propene), poly(chloroethene) and poly(tetrafluoroethene)
4.46 understand how to deduce the structure of a monomer from the repeat unit of an addition polymer and vice versa</t>
  </si>
  <si>
    <t>Pages 302–307</t>
  </si>
  <si>
    <t>Lesson 105 — Addition Polymers
Specification Points:
4.44 know that an addition polymer is formed by joining up many small molecules called monomers
4.45 understand how to draw the repeat unit of an addition polymer, including poly(ethene), poly(propene), poly(chloroethene) and poly(tetrafluoroethene)
4.46 understand how to deduce the structure of a monomer from the repeat unit of an addition polymer and vice versa
Pages 302–307
Requisitions:
Practical Name: No practical work
Practical Type: N/A
Equipment Required:
N/A
Chemicals Required: 
N/A
Safety Notes: 
N/A</t>
  </si>
  <si>
    <t>• state that a polymer is a long-chain molecule consisting of repeating units, called monomers
• explain how a polymer can be formed from many alkene monomers
• state that alkenes form polymers by addition polymerisation
• identify the monomer of a polymer and vice-versa.</t>
  </si>
  <si>
    <t>• addition polymerisation: a type of polymerisation in which the monomers add on to each other and no small molecules are eliminated
• monomers: molecules that can join to form a polymer
• polymer: a large molecule made when many small molecules (monomers) join together
• polymerisation: the joining of lots of small molecules (monomers) to make one big molecule (polymer)</t>
  </si>
  <si>
    <t xml:space="preserve">Polymer Disposal </t>
  </si>
  <si>
    <t>4.47 explain problems in the disposal of addition polymers, including: 
• their inertness and inability to biodegrade 
• the production of toxic gases when they are burned</t>
  </si>
  <si>
    <t>Pages 307–308</t>
  </si>
  <si>
    <t>an area of land used as a location to dispose of
The ash produced can be toxic so still needs to be disposed of in landfill sites
Releases harmful and toxic gases.
an area of land used as a location to dispose of waste materials
Plastics are non-biodegradable, so they do not rot and are difficult to dispose of.</t>
  </si>
  <si>
    <t>Lesson 106 — Polymer Disposal
Specification Points:
4.47 explain problems in the disposal of addition polymers, including: 
• their inertness and inability to biodegrade 
• the production of toxic gases when they are burned
Pages 307–308
Requisitions:
Practical Name: No practical work
Practical Type: N/A
Equipment Required:
N/A
Chemicals Required: 
N/A
Safety Notes: 
N/A</t>
  </si>
  <si>
    <t>• state the problems of addition polymer disposal that are caused by their inertness and inability to biodegrade
• describe the advantages and disadvantages of recycling addition polymers
• describe the advantages and disadvantages of disposing of addition polymers in landfill
• describe the advantages and disadvantages of the incineration of addition polymers.</t>
  </si>
  <si>
    <t>• biodegradable: able to be broken down by bacteria or fungi in the environment
• incinerate: the burning of waste in a furnace; incinerators can capture waste gases or use the heat produced to generate electricity
• inert: unreactive
• landfill: an area of land used as a location to dispose of waste materials
• non-biodegradable: unable to be broken down by bacteria or fungi in the environment</t>
  </si>
  <si>
    <t>Condensation Polymers</t>
  </si>
  <si>
    <t>4.48C know that condensation polymerisation, in which a dicarboxylic acid reacts with a diol, produces a polyester and water
4.49C understand how to write the structural and displayed formula of a polyester, showing the repeat unit, given the formulae of the monomers from which it is formed including the reaction of ethanedioic acid and ethanediol</t>
  </si>
  <si>
    <t>Pages 308–310</t>
  </si>
  <si>
    <t>Practical Name: Making nylon; Making alginate worms
Practical Type: Demonstration
Equipment Required:
Eye protection/face shield, gloves, 250 cm³ beaker, glass rods, forceps; Beakers, pipette, tweezers
Chemicals Required:
1,6-diaminohexane soln, decanedioyl/hexanedioyl chloride in cyclohexane; Sodium alginate/Gaviscon, NaCl, CaCl₂
Safety Notes:
Eye/face protection; gloves; chlorides corrosive; cyclohexane flammable; well-ventilated</t>
  </si>
  <si>
    <t>• Wear eye protection or a face shield. Wear disposable nitrile gloves. 1,6-diaminohexane is corrosive. Decanedioyl chloride and hexanedioyl chloride are corrosive. Cyclohexane is highly flammable. Students should only handle the nylon thread if they are wearing disposable nitrile gloves.
• Ensure room is well ventilated and that there are no sources of ignition.
• Dispose of the produced nylon by rinsing with water, wrapping it in paper towels and placing it with non-recycling waste.
• Wear eye protection.</t>
  </si>
  <si>
    <t>Lesson 107 — Condensation Polymers
Specification Points:
4.48C know that condensation polymerisation, in which a dicarboxylic acid reacts with a diol, produces a polyester and water
4.49C understand how to write the structural and displayed formula of a polyester, showing the repeat unit, given the formulae of the monomers from which it is formed including the reaction of ethanedioic acid and ethanediol
Pages 308–310
Requisitions:
Practical Name: Making nylon; Making alginate worms
Practical Type: Demonstration
Equipment Required:
Eye protection/face shield, gloves, 250 cm³ beaker, glass rods, forceps; Beakers, pipette, tweezers
Chemicals Required: 
1,6-diaminohexane soln, decanedioyl/hexanedioyl chloride in cyclohexane; Sodium alginate/Gaviscon, NaCl, CaCl₂
Safety Notes: 
Eye/face protection; gloves; chlorides corrosive; cyclohexane flammable; well-ventilated
Notes:
Wear eye protection or a face shield. Wear disposable nitrile gloves. 1,6-diaminohexane is corrosive. Decanedioyl chloride and
hexanedioyl chloride are corrosive. Cyclohexane is highly flammable.
Carry out this work in a fume cupboard or well-ventilated area.</t>
  </si>
  <si>
    <t>• explain what is meant by a condensation reaction
• state why two different monomers are needed to form a condensation polymer
• identify the monomer of a polymer and vice-versa.</t>
  </si>
  <si>
    <t>• condensation polymerisation: a reaction in which monomers join together with the loss of a small molecule such as water
• polyester: a polymer formed by the condensation reaction of a diol and a dicarboxylic acid
• dicarboxylic acid: an organic molecule with two -COOH groups
• diol: an organic molecule with two -OH groups
• monomer: a small molecule that can join with others to form a polymer</t>
  </si>
  <si>
    <t>1. Place 50 cm³ of the aqueous solution of 1,6-diaminohexane into a glass beaker.
2. Measure 50 cm³ of the decanedioyl chloride or hexanedioyl chloride in cyclohexane into another beaker.
3. Slowly pour the decanedioyl chloride or hexanedioyl chloride in cyclohexane down a glass rod so that it forms a layer on top of the aqueous layer. The nylon forms at the interface of the two solutions. Do not stir.
4. Use forceps to pull out the nylon thread then wind it around a glass rod.
1. Place the calcium chloride solution into a labelled beaker.
2. Place the sodium chloride solution into a different labelled beaker.
3. Use a dropper pipette to squirt the sodium alginate suspension or Gaviscon® into the calcium chloride solution.
4. Use tweezers to lift out a few of the worms straight away and put them into the beaker of sodium chloride solution.
5. Wait a few minutes for the reactions to be complete then remove the worms from the beakers and compare their appearance and what happens when you squeeze or pull them.</t>
  </si>
  <si>
    <t>Condensation Polymer Disposal</t>
  </si>
  <si>
    <t>4.47 explain problems in the disposal of addition polymers, including: 
• their inertness and inability to biodegrade 
• the production of toxic gases when they are burned
4.50C know that some polyesters, known as biopolyesters, are biodegradable</t>
  </si>
  <si>
    <t>Pages 307–310</t>
  </si>
  <si>
    <t>too dangerous to incinerate.
These will need to be disposed of at landfill sites.</t>
  </si>
  <si>
    <t>Lesson 108 — Condensation Polymer Disposal
Specification Points:
4.47 explain problems in the disposal of addition polymers, including: 
• their inertness and inability to biodegrade 
• the production of toxic gases when they are burned
4.50C know that some polyesters, known as biopolyesters, are biodegradable
Pages 307–310
Requisitions:
Practical Name: No practical work
Practical Type: N/A
Equipment Required:
N/A
Chemicals Required: 
N/A
Safety Notes: 
N/A</t>
  </si>
  <si>
    <t>• explain why some polymers are biodegradable
• state the uses that can be made of biodegradable polymers and their limitations
• state the advantages of a biodegradable polymer
• evaluate the advantages and disadvantages of recycling polymers.</t>
  </si>
  <si>
    <t>• biodegradable: able to be broken down by living organisms such as bacteria
• biopolyester: a polyester that is biodegradable
• addition polymer: a polymer formed from unsaturated monomers without the loss of any atoms
• inert: chemically unreactive; difficult to break down</t>
  </si>
  <si>
    <t>Introduction to Electrolysis</t>
  </si>
  <si>
    <t>1.55C understand why covalent compounds do not conduct electricity
1.56C understand why ionic compounds conduct electricity only when molten or in aqueous solution
1.57C know that anion and cation are terms used to refer to negative and positive ions respectively</t>
  </si>
  <si>
    <t>Pages 76, 92, 96, 101–102</t>
  </si>
  <si>
    <t>Lesson 109 — Introduction to Electrolysis
Specification Points:
1.55C understand why covalent compounds do not conduct electricity
1.56C understand why ionic compounds conduct electricity only when molten or in aqueous solution
1.57C know that anion and cation are terms used to refer to negative and positive ions respectively
Pages 76, 92, 96, 101–102
Requisitions:
Practical Name: No practical work
Practical Type: N/A
Equipment Required:
N/A
Chemicals Required: 
N/A
Safety Notes: 
N/A</t>
  </si>
  <si>
    <t>• state that moving charged particles form a current
• explain, in terms of free electrons, why covalent substances do not conduct electricity but metals and graphite do
• explain, in terms of moving ions &amp;ndash; anions and cations, that ionic compounds can conduct electricity only when molten or dissolved.</t>
  </si>
  <si>
    <t>• anode: the positive electrode in electrolysis, which attracts negative anions
• cathode: the negative electrode in electrolysis, which attracts positive cations
• electrode: a conductor through which electricity is passed into and out of an electrolyte
• electrolytic cell: a compartment in which electrolysis occurs</t>
  </si>
  <si>
    <t>Electrolysis of Molten Compounds</t>
  </si>
  <si>
    <t>1.58C describe experiments to investigate electrolysis, using inert electrodes, of molten compounds (including lead(II) bromide) and aqueous solutions (including sodium chloride, dilute sulfuric acid and copper(II) sulfate) and to predict the products
1.59C write ionic half-equations representing the reactions at the electrodes during electrolysis and understand why these reactions are classified as oxidation or reduction</t>
  </si>
  <si>
    <t>Pages 103–106</t>
  </si>
  <si>
    <t>Practical Name: Electrolysis
Practical Type: Demo
Equipment Required:
Powerpack
Leads, elctrodes and crocodile clips
Chemicals Required:
Copper Sulfate
Safety Notes:</t>
  </si>
  <si>
    <t>Copper sulfate is harmful if swallowed and an irritant. Wear eye protection and avoid skin contact.
Take care with electrical equipment. Do not connect circuits to mains. Switch off power before changing connections.</t>
  </si>
  <si>
    <t>Lesson 110 — Electrolysis of Molten Compounds
Specification Points:
1.58C describe experiments to investigate electrolysis, using inert electrodes, of molten compounds (including lead(II) bromide) and aqueous solutions (including sodium chloride, dilute sulfuric acid and copper(II) sulfate) and to predict the products
1.59C write ionic half-equations representing the reactions at the electrodes during electrolysis and understand why these reactions are classified as oxidation or reduction
Pages 103–106
Requisitions:
Practical Name: Electrolysis
Practical Type: Demo
Equipment Required:
Powerpack
Leads, elctrodes and crocodile clips
Chemicals Required: 
Copper Sulfate
Safety Notes:
Notes:
Copper sulfate is harmful if swallowed and an irritant. Wear eye protection and avoid skin contact.
Take care with electrical equipment. Do not connect circuits to mains. Switch off power before changing connections.</t>
  </si>
  <si>
    <t>• recall the components of an electrolytic cell
• explain why an ionic compound must be heated to undergo electrolysis
• predict the products from a molten electrolyte at each electrode
• write half-equations and identify what is oxidised and what is reduced.</t>
  </si>
  <si>
    <t>• decomposition reaction: a chemical reaction in which a compound is broken down into its elements or simpler compounds
• discharged: when an ion has lost its charge by losing or gaining electrons
• half-equation: a balanced symbol equation to describe either oxidation or reduction</t>
  </si>
  <si>
    <t>Electrolysis of Aqueous Compounds</t>
  </si>
  <si>
    <t>1.56C understand why ionic compounds conduct electricity only when molten or in aqueous solution
1.58C describe experiments to investigate electrolysis, using inert electrodes, of molten compounds (including lead(II) bromide) and aqueous solutions (including sodium chloride, dilute sulfuric acid and copper(II) sulfate) and to predict the products
1.59C write ionic half-equations representing the reactions at the electrodes during electrolysis and understand why these reactions are classified as oxidation or reduction</t>
  </si>
  <si>
    <t>Pages 106–109</t>
  </si>
  <si>
    <t>Lesson 111 — Electrolysis of Aqueous Compounds
Specification Points:
1.56C understand why ionic compounds conduct electricity only when molten or in aqueous solution
1.58C describe experiments to investigate electrolysis, using inert electrodes, of molten compounds (including lead(II) bromide) and aqueous solutions (including sodium chloride, dilute sulfuric acid and copper(II) sulfate) and to predict the products
1.59C write ionic half-equations representing the reactions at the electrodes during electrolysis and understand why these reactions are classified as oxidation or reduction
Pages 106–109
Requisitions:
Practical Name: No practical work
Practical Type: N/A
Equipment Required:
N/A
Chemicals Required: 
N/A
Safety Notes: 
N/A</t>
  </si>
  <si>
    <t>• explain why an ionic compound must be dissolved in order to conduct electricity
• predict the products from an aqueous electrolyte at each electrode
• write half-equations and identify what is oxidised and what is reduced.</t>
  </si>
  <si>
    <t>Core Practical – Investigate the Electrolysis of Aqueous Solutions</t>
  </si>
  <si>
    <t>1.60C practical: investigate the electrolysis of aqueous solutions</t>
  </si>
  <si>
    <t>Pages 106–109
Lab Book: Pages 12–15</t>
  </si>
  <si>
    <t>Practical Name: Electrolysis of aqueous solutions
Practical Type: Student practical
Equipment Required:
Eye protection, beaker, Bunsen, heat mat, leads, damp litmus paper, electrode holder, low-voltage supply, sandpaper, electrodes, splints
Chemicals Required:
0.1 M CuSO₄, 0.1 M NaCl, 0.1 M H₂SO₄
Safety Notes:
Eye protection; acids irritants; Cl₂ toxic; H₂ flammable; ≤6 V; well-ventilated</t>
  </si>
  <si>
    <t>• Wear eye protection.
• 0.1 mol/dm³ sulfuric acid and 0.1 mol/dm³ copper(II) sulfate are irritants.
• Chlorine gas is toxic and is produced in some of the experiments. Only run the experiment to test the gas. Ensure the lab is well-ventilated (open to fresh air).
• Hydrogen is extremely flammable.
• Take care with aqueous solutions and electricity. Do not use a voltage higher than 6 V and only switch on the circuit when it is fully set up. If you are unsure, ask your teacher to check your set-up.
• If your teacher provides you with other solutions to test, they will provide you with additional safety guidance if required.</t>
  </si>
  <si>
    <t>Lesson 112 — Core Practical – Investigate the Electrolysis of Aqueous Solutions
Specification Points:
1.60C practical: investigate the electrolysis of aqueous solutions
Pages 106–109
Lab Book: Pages 12–15
Requisitions:
Practical Name: Electrolysis of aqueous solutions
Practical Type: Student practical
Equipment Required:
Eye protection, beaker, Bunsen, heat mat, leads, damp litmus paper, electrode holder, low-voltage supply, sandpaper, electrodes, splints
Chemicals Required: 
0.1 M CuSO₄, 0.1 M NaCl, 0.1 M H₂SO₄
Safety Notes: 
Eye protection; acids irritants; Cl₂ toxic; H₂ flammable; ≤6 V; well-ventilated
Notes:
Wear eye protection. 0.1 mol/dm³ sulfuric acid and 0.1 mol/dm³ copper(II) sulfate are irritants.
Chlorine gas is toxic and is produced in some of the experiments. Only run the experiment to test the gas. Ensure the lab is well-ventilated (open to fresh air).
Hydrogen is extremely flammable.
Take care with aqueous solutions and electricity. Do not use a voltage higher
Take care with hot apparatus. Do not touch hot equipment directly. Use tongs or heat-proof mats.
Carry out this work in a fume cupboard or well-ventilated area.</t>
  </si>
  <si>
    <t>• describe how an electrolytic cell is set up for aqueous electrolytes, including the collection of gas products
• predict the products from an aqueous electrolyte at each electrode
• write half-equations and identify what is oxidised and what is reduced.</t>
  </si>
  <si>
    <t>1. Place about 50 cm³ of copper(II) chloride solution into a 10⁰ cm³ beaker.
2. Set up the apparatus as shown in the diagram below. The test tubes over the electrodes can be filled with water or the solution being tested.
3. Use the leads to connect the electrodes to the low-voltage power supply. Make sure you connect the electrodes to the d.c. terminals. These are normally coloured red and black.
4. Set the voltage to 6 V and switch it on.
5. Look at the electrodes. Record any colour change or fizzing in your results table.
6. Test any gas that has been produced. Start by testing for chlorine. Hold a piece of damp litmus paper at the mouth of the test tube. If the litmus paper bleaches, the gas is chlorine. Add this information to your results table.
7. If the gas is not chlorine, test for hydrogen (lit splint goes out with a squeaky pop) and then for oxygen (glowing splint relights). Record any information in your results table.
8. Switch off the low-voltage supply.
9. Remove the liquid from the beaker. Your teacher will tell you where to put the waste liquid. You will need to clean both the electrodes. Rinsing them under running water should be fine. If a solid has formed on the electrodes, use sandpaper to clean them before running them under water.
10. Repeat steps 1 to 9 using the other solutions.</t>
  </si>
  <si>
    <t>Draw a pencil line on chromatography paper, about 2 cm from the bottom.
This is the baseline.
Put a small spot of ink from two different pens on the baseline.
Use a pencil to write the name of each pen or ink colour below each spot.
Pour some water into the beaker to a depth of about 1 cm.
Lower the chromatography paper into the beaker so that the bottom of the paper is in the water, but the water level is below the spots, as shown in the diagram.
Leave the paper in the beaker until the water soaks upwards and reaches almost to the top of the paper.
The water is the solvent for the different coloured dye compounds in each ink.
The photo below shows a typical chromatogram that might be produced in the laboratory. This chromatogram shows six inks being separated.
Take the paper out. Immediately use a pencil to mark the location of the solvent front (the highest level that the water has reached) before the water evaporates. Leave the paper to dry.</t>
  </si>
  <si>
    <t xml:space="preserve">
</t>
  </si>
  <si>
    <t>Distance–Time Graphs</t>
  </si>
  <si>
    <t>1.1 use the following units: kilogram (kg), metre (m), metre/second (m/s), metre/(second)2 (m/s2), newton (N), second (s) and newton/kilogram (N/kg)
1.3 plot and explain distance–time graphs
1.4 know and use the relationship between average speed, distance moved and time taken: average speed = (distance moved)/(time taken)</t>
  </si>
  <si>
    <t>Pages 4–6 and 15–16</t>
  </si>
  <si>
    <t>Practical (Optional):
- Stopwatches
- Measuring tape, 50m</t>
  </si>
  <si>
    <t>Lesson 1 — Distance–Time Graphs
Specification Points:
1.1 use the following units: kilogram (kg), metre (m), metre/second (m/s), metre/(second)2 (m/s2), newton (N), second (s) and newton/kilogram (N/kg)
1.3 plot and explain distance–time graphs
1.4 know and use the relationship between average speed, distance moved and time taken: average speed = (distance moved)/(time taken)
Pages 4–6 and 15–16
Requisitions:
Practical (Optional):
- Stopwatches
- Measuring tape, 50m</t>
  </si>
  <si>
    <t>• use distance–time graphs to analyse the motion of an object
• sketch distance–time graphs for the motion of an object
• use the average speed equation to calculate speed, distance or time taken.</t>
  </si>
  <si>
    <t>• accelerating: getting faster
• acceleration: the rate of change of increasing velocity
• average speed = \(\frac{\mathrm{distance}\;\mathrm{moved}}{\mathrm{time}\;\mathrm{taken}}\)
• decelerating: getting slower
• deceleration: the rate of change of decreasing velocity
• distance–time graph: a graph showing distance travelled at certain intervals of time
• gradient: the slope of a line or surface</t>
  </si>
  <si>
    <t>Investigating Motion</t>
  </si>
  <si>
    <t>Pages 2–8
Lab Book: Pages 2–5</t>
  </si>
  <si>
    <t>Requisitions: Practical 1:
- Vernier trolley with card attached (to pass through light gate)
- Vernier ramp (x2)
- Vernier go-direct light gate x2
- Labquest 2
- Lab jack
- Half meter ruler x2
- Meter ruler / measuring tape
Lab 2: Optional: Please set up a vernier photogate(wireless) bluetooth and a meter stick with a ball that can easily go through the gate.
- Plastic balls heavier and larger than squash ball
- Vernier go-direct light gate
- Labquest 2
- Two meter rulers set up as shown in the workbook photo
Additional equipment (lesson resources):
blocks to prop up the end of the ramp
sticky putty
2 light gates
metre rule
datalogger
2 clamps and stands
box of crumpled newspaper
set square</t>
  </si>
  <si>
    <t>• Students need to take a large number of measurements to complete this practical. There are two ways to do this. You need to select the option based on class size and time available: Option 1: Assign specific measurements to groups of students, as explained below, and then pool the results to make a whole-class results table. If you choose this option, you’ll have to specify the starting height and all the subsequent values for the height (found before the lesson starts). The maximum height should not exceed 30 cm. Option 2: Alternatively, let each group take all the measurements. This option is likely to take up the remainder of the lesson, meaning that the analysis and evaluation work in Task 2 and the End-of-lesson activity may need to take place in a second session. If you choose this option, you will have to specify the starting height for students, which you would have to find before the start of the lesson according to the instructions in the practical’s method. You can then either choose to specify all subsequent values as well, or let students choose their own values. If that’s the case, tell students: You’ll be choosing your own values for the height increase, but the maximum height should not exceed 30 cm since this can cause the car to reach relatively high speeds and cause damage .</t>
  </si>
  <si>
    <t>Lesson 2 — Investigating Motion
Pages 2–8
Lab Book: Pages 2–5
Requisitions:
Requisitions: Practical 1:
- Vernier trolley with card attached (to pass through light gate)
- Vernier ramp (x2)
- Vernier go-direct light gate x2
- Labquest 2
- Lab jack
- Half meter ruler x2
- Meter ruler / measuring tape
Lab 2: Optional: Please set up a vernier photogate(wireless) bluetooth and a meter stick with a ball that can easily go through the gate.
- Plastic balls heavier and larger than squash ball
- Vernier go-direct light gate
- Labquest 2
- Two meter rulers set up as shown in the workbook photo
Additional equipment (lesson resources):
blocks to prop up the end of the ramp
sticky putty
2 light gates
metre rule
datalogger
2 clamps and stands
box of crumpled newspaper
set square
Notes:
Practical 1:
Connecting two vernier ramps to create a 2-meter length provides greater variety for the trials. Since height is one of the variables, place two half-meter rulers near each light gate to accurately measure the height.
The Labquest setup displays a table that records the elapsed time and the velocity of the trolley as it passes through each light gate.</t>
  </si>
  <si>
    <t>• investigate the motion of a toy car
• analyse data and describe motion.</t>
  </si>
  <si>
    <t>• anomalous result: a result that does not fit the pattern, also called an anomaly
• hypothesis: this is an idea about how something works that can be tested with experiments
• mean: the average value calculated when all the numbers are added together and divided by the number of readings
• parallax error: type of error that occurs when your eye is not directly in front of or above the measuring instrument, but at an angle
• perpendicular: at right angles/at 90°
• prediction: this describes what will happen in the experiment if the hypothesis is correct</t>
  </si>
  <si>
    <t>1. Prop up one end of the ramp with the blocks and place a trolley on it. Adjust the slope of the ramp until the trolley just starts to move on its own. Gravity pulling the trolley down the slope is now slightly greater than the friction between the trolley’s wheels and the ramp. This is your starting height. Record the height of the end of the ramp in a results table.
2. Stick a piece of card to the top of the trolley using sticky putty. Measure the length of the card and write it down.
3. Set up two light gates, one near the top of the ramp and one near the bottom. Adjust their positions so that the card on the top of the trolley passes through each gate as the trolley runs down the ramp. Measure the distance from the first light gate to the second light gate. Record this distance.
4. Release the trolley from the top of the ramp without pushing it. Write down the time from the datalogger that the trolley takes to travel between the two light gates.
5. Repeat step 4 for other heights of the ramp. You will need to decide what heights you will use and how many different heights you will test. Repeat each test three times.</t>
  </si>
  <si>
    <t>Identifying Forces</t>
  </si>
  <si>
    <t>1.1 use the following units: kilogram (kg), metre (m), metre/second (m/s), metre/second2 (m/s2), newton (N), second (s) and newton/kilogram (N/kg)
1.12 identify different types of force such as gravitational or electrostatic
1.13 understand how vector quantities differ from scalar quantities
1.14 understand that force is a vector quantity
1.16 know that friction is a force that opposes motion
1.18 know and use the relationship between weight, mass and gravitational field strength: weight = mass × gravitational field strength W = m × g</t>
  </si>
  <si>
    <t>Pages 18–20, 26 and 34</t>
  </si>
  <si>
    <t>Requisitions: forces circus from old Y8 P2L2 (link)</t>
  </si>
  <si>
    <t>Lesson 3 — Identifying Forces
Specification Points:
1.1 use the following units: kilogram (kg), metre (m), metre/second (m/s), metre/second2 (m/s2), newton (N), second (s) and newton/kilogram (N/kg)
1.12 identify different types of force such as gravitational or electrostatic
1.13 understand how vector quantities differ from scalar quantities
1.14 understand that force is a vector quantity
1.16 know that friction is a force that opposes motion
1.18 know and use the relationship between weight, mass and gravitational field strength: weight = mass × gravitational field strength W = m × g
Pages 18–20, 26 and 34
Requisitions:
Requisitions: forces circus from old Y8 P2L2 (link)</t>
  </si>
  <si>
    <t>• explain the features of vectors and scalars
• give examples of vector and scalar quantities
• identify different types of force
• define and calculate weight.</t>
  </si>
  <si>
    <t>• drag or air resistance:&amp;nbsp;a force between a moving object and the fluid (liquid or gas) in which it is moving
• friction: a force between two solid surfaces trying to move across each other that tries to stop movement happening
• gravitational field strength (g): the size of the effect of gravity acting on an object (measured in newtons per kilogram (N/kg))
• mass: the amount of matter in a body (measured in kilograms (kg))
• newton (N): the unit of measurement for force
• normal reaction force: a force that acts when two objects are in contact with one another to prevent one object passing through the other
• scalar: a quantity with size only
• upthrust: the upwards force on a body when it displaces fluid
• vector: a quantity with size and direction
• weight: the force of gravity acting on a body (measured in newtons (N))
• weight = mass × gravitational field strength or W = mg</t>
  </si>
  <si>
    <t>Resultant Forces</t>
  </si>
  <si>
    <t>1.11 describe the effects of forces between bodies such as changes in speed, shape and direction
1.15 calculate the resultant force of forces that act along a line</t>
  </si>
  <si>
    <t>Pages 20–22</t>
  </si>
  <si>
    <t>Lesson 4 — Resultant Forces
Specification Points:
1.11 describe the effects of forces between bodies such as changes in speed, shape and direction
1.15 calculate the resultant force of forces that act along a line
Pages 20–22</t>
  </si>
  <si>
    <t>• define and calculate resultant forces
• describe the effects of forces on objects.</t>
  </si>
  <si>
    <t>• resultant force: the single force that has the same effect as the combination of all the forces acting on an object</t>
  </si>
  <si>
    <t>Resultant Forces and Acceleration</t>
  </si>
  <si>
    <t>1.1 use the following units: kilogram (kg), metre (m), metre/second (m/s), metre/second2 (m/s2), newton (N) and second (s)
1.17 know and use the relationship between unbalanced force, mass and acceleration: force = mass x acceleration; F=m×a
1.21 describe the forces acting on falling objects (and explain why falling objects reach terminal velocity)</t>
  </si>
  <si>
    <t>Pages 28–31 and 35–37</t>
  </si>
  <si>
    <t>Trolley on track with mass attached, software to measure acceleration
- Vernier track attached with pulley (+ end stopper with magnet installed, ~1 cm thick white foam to increase distance between cart and end stopper)
- Vernier go-direct cart
- Labquest 2/Laptop with Graphical Analysis
- 50g slotted mass with hanger and string
(mass transfer from trolley to hanging mass to increase acceleration while keep the mass of the whole system the same)
(MEH DA lesson Sep 2025:
Old Y8 Force and Electricity Lesson 6 Making a Parachute Practical:
- Trash bin liner/Plastic table cloth
- Plastic carrier bag
- Small ziplock bag
- String rolls
- Sand tray and shovel
- Balance x4
- Hole punch, single hole
- Sellotape
- Scissors
- Stopwatches x12
- Empty trays)</t>
  </si>
  <si>
    <t>Lesson 67
 — Resultant Forces and Acceleration
Specification Points:
1.1 use the following units: kilogram (kg), metre (m), metre/second (m/s), metre/second2 (m/s2), newton (N) and second (s)
1.17 know and use the relationship between unbalanced force, mass and acceleration: force = mass x acceleration; F=m×a
1.21 describe the forces acting on falling objects (and explain why falling objects reach terminal velocity)
Pages 28–31 and 35–37
Requisitions:
Trolley on track with mass attached, software to measure acceleration
- Vernier track attached with pulley (+ end stopper with magnet installed, ~1 cm thick white foam to increase distance between cart and end stopper)
- Vernier go-direct cart
- Labquest 2/Laptop with Graphical Analysis
- 50g slotted mass with hanger and string
(mass transfer from trolley to hanging mass to increase acceleration while keep the mass of the whole system the same)
(MEH DA lesson Sep 2025:
Old Y8 Force and Electricity Lesson 6 Making a Parachute Practical:
- Trash bin liner/Plastic table cloth
- Plastic carrier bag
- Small ziplock bag
- String rolls
- Sand tray and shovel
- Balance x4
- Hole punch, single hole
- Sellotape
- Scissors
- Stopwatches x12
- Empty trays)
Notes:
Labquest set up to show accelaration vs. time graph</t>
  </si>
  <si>
    <t>• recall and use the relationship: resultant force = mass &amp;times; acceleration
• explain why falling objects reach terminal velocity.</t>
  </si>
  <si>
    <t>• resultant force: the single force that has the same effect as all the forces acting on an object combined
• acceleration: the rate of change of velocity
• Newton's second law: force = mass × acceleration (F = ma)
• terminal velocity: the constant speed reached when the driving force equals the resistive forces</t>
  </si>
  <si>
    <t>Newton's Third Law</t>
  </si>
  <si>
    <t>1.29P demonstrate an understanding of Newton’s third law</t>
  </si>
  <si>
    <t>Pages 46–47</t>
  </si>
  <si>
    <t>Lesson 68
 — Newton's Third Law
Specification Points:
1.29P demonstrate an understanding of Newton’s third law
Pages 46–47</t>
  </si>
  <si>
    <t>• know the features of a balanced pair of forces acting on an object
• identify Newton&amp;rsquo;s third law pairs of forces.</t>
  </si>
  <si>
    <t>• Newton's third law: for every action force there is an equal and opposite reaction force
• action-reaction pair: two forces that are equal in size, opposite in direction, and act on different objects
• normal contact force: the force exerted perpendicular to a surface when two objects are in contact</t>
  </si>
  <si>
    <t>Stretching Materials 1</t>
  </si>
  <si>
    <t>1.22 practical: investigate how extension varies with applied force for helical springs, metal wires and rubber bands</t>
  </si>
  <si>
    <t>Pages 23–25
Lab Book: Pages 10–13</t>
  </si>
  <si>
    <t>Requisitions: Practical 2
- Stand and two clamps
- G-clamp
- 2 different springs
- Metre rule
- 10⁰ g masses (at least five) and mass holder (50g would be better)
- Tooth picks (as pointer to ruler)</t>
  </si>
  <si>
    <t>• Students should wear eye protection.
• Students should take care not to drop the masses.
• Students should wear shoes with closed toes and heels to protect their feet in case they drop the masses.
• Before students start, remind them: You must always wear your eye protection if your spring is loaded .
• Ask students to carry out the practical following the method on p. 10 of the Lab Book . Students should work in pairs, or groups of three.
• It is advisable to fix the base of the clamp stand to the bench with a G-clamp, so it doesn't topple over.
• Students should then answer Q2–4 on pp. 11–12 of the Lab Book . For Q4 , they will use their results to plot a graph . Lab Book answers</t>
  </si>
  <si>
    <t>Lesson 5 — Stretching Materials 1
Specification Points:
1.22 practical: investigate how extension varies with applied force for helical springs, metal wires and rubber bands
Pages 23–25
Lab Book: Pages 10–13
Requisitions:
Requisitions: Practical 2
- Stand and two clamps
- G-clamp
- 2 different springs
- Metre rule
- 100 g masses (at least five) and mass holder (50g would be better)
- Tooth picks (as pointer to ruler)
Notes:
Students should wear eye protection.</t>
  </si>
  <si>
    <t>• investigate the relationship between the force applied to a material and its extension.</t>
  </si>
  <si>
    <t>• dependent variable: the variable that changes because of the change to the independent variable
• elastic deformation: the spring will regain its original shape when the force is removed
• extension: current length − original length
• independent variable: the variable you manipulate/change during an experiment
• parallax error: type of error that occurs when the eye is at an angle to the measurement</t>
  </si>
  <si>
    <t>1. Set up the apparatus as shown in the diagram. Fix the base of the clamp stand to the bench with a G-clamp.
2. Measure the length of the spring with no masses hanging on it and write it down. Also record the position of the bottom of the spring.
3. Hang a 10⁰ g mass on the spring. Record the position of the bottom of the spring.
4. Repeat step 3 until you have found the extension of the spring with ten different masses and record your results in the table. Do not hang more than 1 kg on the spring because it might snap.
5. Repeat steps 1 to 4 for a different spring.</t>
  </si>
  <si>
    <t>Stretching Materials 2</t>
  </si>
  <si>
    <t>1.22 practical: investigate how extension varies with applied force for helical springs, metal wires and rubber bands
1.23 know that the initial linear region of a force–extension graph is associated with Hooke's law
1.24 describe elastic behaviour as the ability of a material to recover its original shape after the forces causing deformation have been removed</t>
  </si>
  <si>
    <t xml:space="preserve">Pages 23–25 and 27
</t>
  </si>
  <si>
    <t>Practical:
- Metal spring (short)
- Blutac
- Rubber band
- Bath sponge
- Two pieces of metal wire, one unstretched and one that has been stretched beyond its elastic limit - spring and distorted spring, or paper clip (low carbon steel)
- Eye protection
Additional equipment (lesson resources):
a metal spring
a piece of sticky tack
two pieces of metal wire, one unstretched and one that has been stretched beyond</t>
  </si>
  <si>
    <t>• Ensure that students wear eye protection in case the metal wire or spring snap, to protect their eyes. Instruct students to avoid applying large forces to the materials provided.</t>
  </si>
  <si>
    <t>Lesson 6 — Stretching Materials 2
Specification Points:
1.22 practical: investigate how extension varies with applied force for helical springs, metal wires and rubber bands
1.23 know that the initial linear region of a force–extension graph is associated with Hooke's law
1.24 describe elastic behaviour as the ability of a material to recover its original shape after the forces causing deformation have been removed
Pages 23–25 and 27
Requisitions:
Practical:
- Metal spring (short)
- Blutac
- Rubber band
- Bath sponge
- Two pieces of metal wire, one unstretched and one that has been stretched beyond its elastic limit - spring and distorted spring, or paper clip (low carbon steel)
- Eye protection
Additional equipment (lesson resources):
a metal spring
a piece of sticky tack
two pieces of metal wire, one unstretched and one that has been stretched beyond
Notes:
Ensure that students wear eye protection in case the metal wire or spring snap, to protect their eyes. Instruct students to avoid applying large forces to the materials provided.</t>
  </si>
  <si>
    <t>• identify and describe elastic and inelastic behaviour of materials
• link the linear region of a force–extension graph to Hooke’s law.</t>
  </si>
  <si>
    <t>• deformation: a change in the length/dimensions of a body
• elastic limit: the point beyond which a material will not return to its original shape
• elastic material: one that returns to its original size when the force stretching it is removed
• Hooke’s law: states that the extension is directly proportional to the applied force
• limit of proportionality: the point up to which extension is proportional to the applied force
• plastic material: one that does not return to its original size when the force stretching it is removed</t>
  </si>
  <si>
    <t>1. Take the first material and record any initial observations about its size and shape.
2. Apply different forces to the material by holding one end fixed and gently pulling the other end. Think about any changes that have occurred in size or shape.
3. Release the forces and observe how the material behaves and what may have changed.
4. Decide whether the material is elastic or plastic and record your findings in a simple table.
5. Repeat Steps 1 to 4 for the other three materials.</t>
  </si>
  <si>
    <t>Centre of Gravity</t>
  </si>
  <si>
    <t>1.31P know that the weight of a body acts through its centre of gravity</t>
  </si>
  <si>
    <t>Pages 51–53</t>
  </si>
  <si>
    <t>Requisition: Centre of mass objects
Board pens
Small masses on strings
Demo:
- Balancing bird
Practical:
- Piece of string with two hoops at the end
- Mass hanger, 10g
- Metal rod to hang the cut-outs and mass
- Plastic cut-outs of a circle, rectangle, equilateral triangle and an irregular shape, with small holes along the edge
- Stand and clamp
- Whiteboard marker
Additional equipment (lesson resources):
piece of string (approx. 50 cm)
mass hanger (10⁰ g)
two cardboard cut-outs of an irregular shape
metre rule
laboratory stand, clamped to the bench using a G-clamp
piece of foam</t>
  </si>
  <si>
    <t>• The stand should be clamped to the bench using a G-clamp so it doesn’t topple over.
• Students should place a piece of foam below the hanger so that, if the string breaks, the hanger won’t hit the floor or their feet.</t>
  </si>
  <si>
    <t>Lesson 7 — Centre of Gravity
Specification Points:
1.31P know that the weight of a body acts through its centre of gravity
Pages 51–53
Requisitions:
Requisition: Centre of mass objects 
Board pens 
Small masses on strings
Demo:
- Balancing bird
Practical:
- Piece of string with two hoops at the end
- Mass hanger, 10g
- Metal rod to hang the cut-outs and mass
- Plastic cut-outs of a circle, rectangle, equilateral triangle and an irregular shape, with small holes along the edge
- Stand and clamp
- Whiteboard marker
Additional equipment (lesson resources):
piece of string (approx. 50 cm)
mass hanger (100 g)
two cardboard cut-outs of an irregular shape
metre rule
laboratory stand, clamped to the bench using a G-clamp
piece of foam
Notes:
Stand clear of swinging objects. Ensure masses are securely attached.</t>
  </si>
  <si>
    <t>• define the centre of gravity as the point through which the weight of the body is considered to act
• describe a method to find a body’s centre of gravity.</t>
  </si>
  <si>
    <t>• centre of gravity: the centre of gravity of a body is the point through which the weight of the body is considered to act
• centre of mass: the average position of the mass of all the mass of a body</t>
  </si>
  <si>
    <t>1. Make two small holes along the edge of the cut-out (not directly opposite each other).
2. Suspend the cut-out from the clamp stand by placing a pencil through one of the holes.
3. Create a plumb line by tying one end of the string onto the pencil and suspending the hanger from the other end.
4. The plumb line should hang in front of the cut-out.
5. Follow the instructions in the above image to find the centre of gravity of the cut-out.
6. Once you have marked the position of the centre of gravity, try to balance the cut-out on your finger at that position. If you have marked the position of the centre of gravity correctly, it should balance and not tip over.</t>
  </si>
  <si>
    <t>Basic Moments</t>
  </si>
  <si>
    <t xml:space="preserve">1.30P know and use the relationship between the moment of a force and its perpendicular distance from the pivot: moment = force × perpendicular distance from pivot
1.32P use the principle of moments for a simple system of parallel forces acting in one plane </t>
  </si>
  <si>
    <t>Pages 48–54</t>
  </si>
  <si>
    <t>Class sets of yellow see saws and masses
Practical:
- Lever, yellow plastic
- Mass, 10g</t>
  </si>
  <si>
    <t>Lesson 8 — Basic Moments
Specification Points:
1.30P know and use the relationship between the moment of a force and its perpendicular distance from the pivot: moment = force × perpendicular distance from pivot
1.32P use the principle of moments for a simple system of parallel forces acting in one plane
Pages 48–54
Requisitions:
Class sets of yellow see saws and masses
Practical:
- Lever, yellow plastic
- Mass, 10g</t>
  </si>
  <si>
    <t>• define and use the moment of a force
• explain common applications of moments.</t>
  </si>
  <si>
    <t>• moment of a force: the product of the magnitude of the force and the perpendicular distance between the line of action of the force and the pivot
• M (Nm) = F (N) × d (m)</t>
  </si>
  <si>
    <t>Balancing Moments</t>
  </si>
  <si>
    <t>Class sets of moments rulers
Practical:
- Meter rule with drilled holes and hooks
- Newton meter, 10N
- Slotted masses, 100g x 10</t>
  </si>
  <si>
    <t>Lesson 9 — Balancing Moments
Specification Points:
1.30P know and use the relationship between the moment of a force and its perpendicular distance from the pivot: moment = force × perpendicular distance from pivot
1.32P use the principle of moments for a simple system of parallel forces acting in one plane
Pages 48–54
Requisitions:
Class sets of moments rulers
Practical:
- Meter rule with drilled holes and hooks
- Newton meter, 10N
- Slotted masses, 100g x 10</t>
  </si>
  <si>
    <t>• apply the principle of moments.</t>
  </si>
  <si>
    <t>• principle of moments: if an object is in equilibrium, then the sum of the clockwise moments about a pivot is equal to the sum of the anticlockwise moments about the same pivot</t>
  </si>
  <si>
    <t>Advanced Moments</t>
  </si>
  <si>
    <t>1.32P use the principle of moments for a simple system of parallel forces acting in one plane
1.33P understand how the upward forces on a light beam, supported at its ends, vary with the position of a heavy object placed on the beam</t>
  </si>
  <si>
    <t>Pages 48–51 and 53</t>
  </si>
  <si>
    <t>Lesson 73 — Advanced Moments
Specification Points:
1.32P use the principle of moments for a simple system of parallel forces acting in one plane
1.33P understand how the upward forces on a light beam, supported at its ends, vary with the position of a heavy object placed on the beam
Pages 48–51 and 53</t>
  </si>
  <si>
    <t>• know and apply the principle of moments
• understand how the normal contact force on a light beam, supported at its ends, varies with the position of a heavy object placed on the beam.</t>
  </si>
  <si>
    <t>• moment: the turning effect of a force, calculated as force × perpendicular distance from the pivot
• principle of moments: when an object is in equilibrium, the sum of clockwise moments equals the sum of anticlockwise moments
• pivot: the fixed point about which a lever turns
• equilibrium: the state when all forces and moments are balanced</t>
  </si>
  <si>
    <t>Velocity–Time Graphs</t>
  </si>
  <si>
    <t>1.1 use the following units: metre (m), metre/second (m/s), metre/second2 (m/s2) and second (s) 
1.6 know and use the relationship between acceleration, change in velocity and time taken: 
acceleration=(change in velocity)/(time taken)
a=((v-u))/t
1.7 plot and explain velocity–time graphs</t>
  </si>
  <si>
    <t>Pages 9–15</t>
  </si>
  <si>
    <t>Lesson 64 — Velocity–Time Graphs
Specification Points:
1.1 use the following units: metre (m), metre/second (m/s), metre/second2 (m/s2) and second (s) 
1.6 know and use the relationship between acceleration, change in velocity and time taken: 
acceleration=(change in velocity)/(time taken)
a=((v-u))/t
1.7 plot and explain velocity–time graphs
Pages 9–15</t>
  </si>
  <si>
    <t>• use velocity–time graphs to analyse the motion of an object
• use the relationship: acceleration = change&amp;#x00A0;in&amp;#x00A0;velocity time&amp;#x00A0;taken .</t>
  </si>
  <si>
    <t>• velocity: the speed of an object in a particular direction, measured in m/s
• acceleration: the rate of change of velocity, a = v &amp;#x2212; u t
• velocity–time graph: a graph used to show the change in velocity of an object over a period of time</t>
  </si>
  <si>
    <t>Calculations Using Velocity–Time Graphs</t>
  </si>
  <si>
    <t>1.1 use the following units: metre (m), metre/second (m/s), metre/second2 (m/s2) and second (s)
1.8 determine acceleration from the gradient of a velocity–time graph
1.9 determine the distance travelled from the area between a velocity–time graph and the time axis</t>
  </si>
  <si>
    <t>Lesson 65 — Calculations Using Velocity–Time Graphs
Specification Points:
1.1 use the following units: metre (m), metre/second (m/s), metre/second2 (m/s2) and second (s)
1.8 determine acceleration from the gradient of a velocity–time graph
1.9 determine the distance travelled from the area between a velocity–time graph and the time axis
Pages 9–15</t>
  </si>
  <si>
    <t>• determine acceleration from the gradient of a velocity–time graph
• calculate distance travelled from the area under a velocity–time graph
• interpret velocity–time graphs for objects with changing velocity</t>
  </si>
  <si>
    <t>• velocity–time graph: a graph used to show the change in velocity of an object over a period of time
• acceleration: the rate of change of velocity, a = v &amp;#x2212; u t</t>
  </si>
  <si>
    <t>The Suvat Equations</t>
  </si>
  <si>
    <t>1.6 know and use the relationship between acceleration, change in velocity and time taken:
	acceleration=(change in velocity)/(time taken)
	a=((v-u))/t
1.10 use the relationship between final speed, initial speed, acceleration and distance moved:
	(final speed)2 = (initial speed)2 + (2 x acceleration x distance moved)
	v2=u2+(2×a×s)</t>
  </si>
  <si>
    <t>Pages 14–15</t>
  </si>
  <si>
    <t>Practical:
- Ping pong balls
- Stopwatches
- Measuring tape</t>
  </si>
  <si>
    <t>Lesson 69 — The Suvat Equations
Specification Points:
1.6 know and use the relationship between acceleration, change in velocity and time taken:
	acceleration=(change in velocity)/(time taken)
	a=((v-u))/t
1.10 use the relationship between final speed, initial speed, acceleration and distance moved:
	(final speed)2 = (initial speed)2 + (2 x acceleration x distance moved)
	v2=u2+(2×a×s)
Pages 14–15
Requisitions:
Practical:
- Ping pong balls
- Stopwatches
- Measuring tape</t>
  </si>
  <si>
    <t>• use the relationship \({(\mathrm{final}\;\mathrm{speed})}^2={(\mathrm{initial}\;\mathrm{speed})}^2+(2\times\mathrm{acceleration}\times\mathrm{distance}\;\mathrm{moved})\) 2 \(=\) (initial speed)2 \(+\) (2 \(\times\) acceleration \(\times\) distance moved) --&gt;
• use the relationship \(\mathrm {acceleration}=\frac{\mathrm{change}\;\mathrm{in}\;\mathrm{velocity}}{\text{time taken}}\) or \(\mathrm{acceleration}=\frac{\mathrm{final}\;\mathrm{velocity}-\;\mathrm{initial}\;\mathrm{velocity}}{\text{time taken}}\)</t>
  </si>
  <si>
    <t>• acceleration &amp;nbsp;=&amp;nbsp; change &amp;#xA0; in &amp;#xA0; velocity time &amp;#xA0; taken
• acceleration&amp;#xA0; = final &amp;#xA0; velocity - initial &amp;#xA0; velocity time &amp;#xA0; taken \(a=\frac{v-u}t\)
• \({(\mathrm{final}\;\mathrm{speed})}^2={(\mathrm{initial}\;\mathrm{speed})}^2+(2\times\mathrm{acceleration}\times\mathrm{distance}\;\mathrm{moved})\) 2 \(=\) (initial speed)2 \(+\) (2 \(\times\) acceleration \(\times\) distance moved) --&gt; \(v^2=u^2+\left(2\times a\times s\right)\)</t>
  </si>
  <si>
    <t>On the Road</t>
  </si>
  <si>
    <t>1.19 know that the stopping distance of a vehicle is made up of the sum of the thinking distance and the braking distance
1.20 describe the factors affecting vehicle stopping distance, including speed, mass, road condition and reaction time</t>
  </si>
  <si>
    <t>Pages 32–33</t>
  </si>
  <si>
    <t>Practical:
- Metre ruler
- Stopwatch
- Graph paper</t>
  </si>
  <si>
    <t>• There are no safety concerns to consider for the practical.</t>
  </si>
  <si>
    <t>Lesson 70 — On the Road
Specification Points:
1.19 know that the stopping distance of a vehicle is made up of the sum of the thinking distance and the braking distance
1.20 describe the factors affecting vehicle stopping distance, including speed, mass, road condition and reaction time
Pages 32–33
Requisitions:
Practical:
- Metre ruler
- Stopwatch
- Graph paper</t>
  </si>
  <si>
    <t>• know that the stopping distance of a vehicle is made up of the sum of the thinking distance and the braking distance
• describe the factors affecting vehicle stopping distance, including speed, mass, road condition and reaction time.</t>
  </si>
  <si>
    <t>• braking distance: the distance travelled by the car while the brakes are applied
• reaction time: the time taken for a driver to react to a hazard
• thinking distance: the distance travelled by the car while the driver reacts to a hazard
• stopping distance = thinking distance + braking distance</t>
  </si>
  <si>
    <t>1. Take a metre ruler and get your partner to hold it so that 0 cm is nearest the floor.
2. Place your thumb and first finger just underneath the end of the ruler.
3. As soon as your partner lets go, catch the ruler using your thumb and first finger.
4. Read the distance that the ruler fell (use the number just above the top side of your thumb).
5. Do this three times for practice.
6. Do this three more times and record your results in a table. Use the graph below to work out your reaction times.
7. Now calculate your mean reaction time for the three tries.</t>
  </si>
  <si>
    <t>Momentum</t>
  </si>
  <si>
    <t>1.2P use the following units: newton metre (Nm), kilogram metre/second (kg m/s)
1.25P know and use the relationship momentum=mass×velocity (p=m×v)
1.27P use the principle of conservation of momentum to calculate the mass, velocity or momentum of objects</t>
  </si>
  <si>
    <t>Pages 40–44</t>
  </si>
  <si>
    <t>Carts that spring off each other to demostrate mass's effect on velocity
Demo:
- Vernier go-direct cart x2
- Vernier mass
- Vernier track
- Labquest 2/ laptop</t>
  </si>
  <si>
    <t>Lesson 71 — Momentum
Specification Points:
1.2P use the following units: newton metre (Nm), kilogram metre/second (kg m/s)
1.25P know and use the relationship momentum=mass×velocity (p=m×v)
1.27P use the principle of conservation of momentum to calculate the mass, velocity or momentum of objects
Pages 40–44
Requisitions:
Carts that spring off each other to demostrate mass's effect on velocity
Demo:
- Vernier go-direct cart x2
- Vernier mass
- Vernier track
- Labquest 2/ laptop</t>
  </si>
  <si>
    <t>• know and use the relationship momentum = mass &amp;times; velocity (p = mv)
• use the principle of conservation of momentum to calculate the mass, velocity or momentum of objects.</t>
  </si>
  <si>
    <t>• constant/conserved: remains the same, does not change
• momentum = mass &amp;times; velocity (p = mv)
• principle of conservation of momentum: the total momentum before a collision or explosion is equal to the total momentum after the collision, provided there is no friction or other external forces acting</t>
  </si>
  <si>
    <t>Roads and Sports Safety</t>
  </si>
  <si>
    <t xml:space="preserve">1.26P use the idea of momentum to explain safety features
1.28P use the relationship between force, change in momentum and time taken: force = change in momentum/time taken </t>
  </si>
  <si>
    <t>Pages 41–42 and 45</t>
  </si>
  <si>
    <t>Carts and foam, acceleratometer
Demo:
- Vernier go-direct cart x2
- Vernier track
- Labquest 2/ laptop
- Paper boxes, or other materials that absorbs impact</t>
  </si>
  <si>
    <t>Lesson 72 — Roads and Sports Safety
Specification Points:
1.26P use the idea of momentum to explain safety features
1.28P use the relationship between force, change in momentum and time taken: force = change in momentum/time taken
Pages 41–42 and 45
Requisitions:
Carts and foam, acceleratometer
Demo:
- Vernier go-direct cart x2
- Vernier track
- Labquest 2/ laptop
- Paper boxes, or other materials that absorbs impact
Notes:
We tested with low-density materials such as paper boxes, water bags, and sponges placed in front of a cart, but the results were less than ideal. Among these, paper boxes showed better performance. Enhancing wheel friction yielded improved results. Yet could this concept relate to the lesson topic? (Carol)</t>
  </si>
  <si>
    <t>• use the relationship force&amp;#xA0;=&amp;#xA0; change&amp;#xA0;in&amp;#xA0;momentum time&amp;#xA0;taken
• use the idea of momentum to explain safety features in car safety
• use the idea of momentum to explain safety features in sports and playgrounds.</t>
  </si>
  <si>
    <t>• momentum: the product of an object's mass and velocity (p = mv)
• crumple zone: a part of a vehicle designed to deform in a collision, increasing the time of impact and reducing force
• impulse: the change in momentum, equal to force × time</t>
  </si>
  <si>
    <t>Energy Stores and Pathways</t>
  </si>
  <si>
    <t>4.1 use the following unit: joule (J)
4.2 describe energy transfers involving energy stores:
• Energy stores: chemical, kinetic, gravitational, elastic, thermal, magnetic, electrostatic, nuclear
• Energy transfers: mechanically, electrically, by heating, by radiation (light and sound)
4.3 use the principle of conservation of energy</t>
  </si>
  <si>
    <t>Pages 132–135 and 137</t>
  </si>
  <si>
    <t>Energy circus Demo:
The pendulum
The clockwork toy
Striking a match
Buzzer
Water turbine
Lamp
Heater</t>
  </si>
  <si>
    <t>Take care with hot apparatus. Do not touch hot equipment directly. Use tongs or heat-proof mats.
Stand clear of swinging objects. Ensure masses are securely attached.</t>
  </si>
  <si>
    <t>Lesson 10 — Energy Stores and Pathways
Specification Points:
4.1 use the following unit: joule (J)
4.2 describe energy transfers involving energy stores:
• Energy stores: chemical, kinetic, gravitational, elastic, thermal, magnetic, electrostatic, nuclear
• Energy transfers: mechanically, electrically, by heating, by radiation (light and sound)
4.3 use the principle of conservation of energy
Pages 132–135 and 137
Requisitions:
Energy circus Demo:
The pendulum
The clockwork toy
Striking a match
Buzzer
Water turbine
Lamp
Heater
Notes:
Take care with hot apparatus. Do not touch hot equipment directly. Use tongs or heat-proof mats.
Stand clear of swinging objects. Ensure masses are securely attached.</t>
  </si>
  <si>
    <t>• know and give examples of the eight energy stores
• know and give examples of the four energy pathways
• describe energy transfers in everyday situations in terms of stores and pathways.</t>
  </si>
  <si>
    <t>• energy: a property of a system used to describe and calculate changes – measured in joules, J
• energy pathway: a process, such as a force moving an object, which transfers energy between different stores
• energy store: an object, or system of objects, in which energy is stored – there are eight different ways in which energy is stored
• energy transfer: a description of the changes in energy stores and the pathways that cause those changes</t>
  </si>
  <si>
    <t>Kinetic Energy</t>
  </si>
  <si>
    <t>4.1 use the following units: kilogram (kg), joule (J), metre (m), metre/second (m/s) metre/second2 (m/s2), newton (N), second (s) and watt (W)
4.14 know and use the relationship: KE = ½ × m × v2
4.15 understand how conservation of energy produces a link between gravitational potential energy, kinetic energy and work</t>
  </si>
  <si>
    <t>Pages 153–155</t>
  </si>
  <si>
    <t>Practical:
- Pendulum
- Balances</t>
  </si>
  <si>
    <t>Stand clear of swinging objects. Ensure masses are securely attached.</t>
  </si>
  <si>
    <t>Lesson 90 — Kinetic Energy
Specification Points:
4.1 use the following units: kilogram (kg), joule (J), metre (m), metre/second (m/s) metre/second2 (m/s2), newton (N), second (s) and watt (W)
4.14 know and use the relationship: KE = ½ × m × v2
4.15 understand how conservation of energy produces a link between gravitational potential energy, kinetic energy and work
Pages 153–155
Requisitions:
Practical:
- Pendulum
- Balances
Notes:
Stand clear of swinging objects. Ensure masses are securely attached.</t>
  </si>
  <si>
    <t>• know and use the relationship: kinetic energy = 1 2 &amp;times; mass &amp;times; speed2
• understand how conservation of energy produces a link between gravitational potential energy, kinetic energy and work.</t>
  </si>
  <si>
    <t>• kinetic energy: the energy an object has due to its motion
• gravitational potential energy: the energy an object has due to its height above the ground
• conservation of energy: energy cannot be created or destroyed, only transferred between stores</t>
  </si>
  <si>
    <t>Work and Energy Transfer</t>
  </si>
  <si>
    <t xml:space="preserve">4.11 know and use the relationship between work done, force and distance moved in the direction of the force: work done = force × distance moved, W=F×d
4.12 know that work done is equal to energy transferred
4.13 know and use the relationship between gravitational potential energy, mass, gravitational field strength, and height: gravitational potential energy = mass x gravitational field strength x height, GPE=m×g×h </t>
  </si>
  <si>
    <t>Pages 150–153</t>
  </si>
  <si>
    <t>Practical:
- Wooden block with hook
- 100g masses
- Newton meter, 10N
- Sand paper</t>
  </si>
  <si>
    <t>Lesson 89 — Work and Energy Transfer
Specification Points:
4.11 know and use the relationship between work done, force and distance moved in the direction of the force: work done = force × distance moved, W=F×d
4.12 know that work done is equal to energy transferred
4.13 know and use the relationship between gravitational potential energy, mass, gravitational field strength, and height: gravitational potential energy = mass x gravitational field strength x height, GPE=m×g×h
Pages 150–153
Requisitions:
Practical:
- Wooden block with hook
- 100g masses
- Newton meter, 10N
- Sand paper</t>
  </si>
  <si>
    <t>• know and use the relationship: work done = force &amp;times; distance moved
• know that work done is equal to energy transferred
• know and use the relationship:gravitational potential energy (GPE) = mass &amp;times; gravitational field strength &amp;times; height.</t>
  </si>
  <si>
    <t>• gravitational potential energy = mass &amp;times; gravitational field strength &amp;times; height (\(GPE = m\;&amp;times;\;g\;&amp;times;\;h\))
• weight = mass &amp;times; gravitational field strength (\(W = m\;&amp;times;\;g\))
• work done: the work done by a force is the energy transferred by that force
• work done = force &amp;times; distance moved (\(W = F\;&amp;times;\;d\))</t>
  </si>
  <si>
    <t>Power</t>
  </si>
  <si>
    <t xml:space="preserve">4.11 know and use the relationship between work done, force and distance moved in the direction of the force: work done = force × distance moved, W=F×d
4.14 know and use the relationship: KE = ½ × m × v2
4.16 describe power as the rate of transfer of energy or the rate of doing work
4.17 use the relationship between power, work done (energy transferred) and time taken: power = work done/time taken </t>
  </si>
  <si>
    <t>Pages 155–156 and 63–65</t>
  </si>
  <si>
    <t>hazard and pushes the brakes, which produce a frictional</t>
  </si>
  <si>
    <t>Lesson 91 — Power
Specification Points:
4.11 know and use the relationship between work done, force and distance moved in the direction of the force: work done = force × distance moved, W=F×d
4.14 know and use the relationship: KE = ½ × m × v2
4.16 describe power as the rate of transfer of energy or the rate of doing work
4.17 use the relationship between power, work done (energy transferred) and time taken: power = work done/time taken
Pages 155–156 and 63–65</t>
  </si>
  <si>
    <t>• describe power as the rate of transfer of energy or the rate of doing work and use the relationship: \(\text{power = }\frac{\text{work done}}{\text{time taken}}\)
• combine a range of equations involving power and work done to answer questions.</t>
  </si>
  <si>
    <t>• power: the rate of doing work or transferring energy
• power \({ = }\frac{\text{work done}}{\text{time taken}}\) \({(P = }\frac{{W}}{{t}})\)</t>
  </si>
  <si>
    <t>Conservation of Energy and Efficiency</t>
  </si>
  <si>
    <t>4.1 use the following unit: joule (J)
4.3 use the principle of conservation of energy
4.4 know and use the relationship between efficiency, useful energy output and total energy input:
efficiency=(useful energy output)/(total energy input)×100%</t>
  </si>
  <si>
    <t>Pages 135–137</t>
  </si>
  <si>
    <t>Class sets of yellow see saws and masses</t>
  </si>
  <si>
    <t>Lesson 11 — Conservation of Energy and Efficiency
Specification Points:
4.1 use the following unit: joule (J)
4.3 use the principle of conservation of energy
4.4 know and use the relationship between efficiency, useful energy output and total energy input:
efficiency=(useful energy output)/(total energy input)×100%
Pages 135–137
Requisitions:
Class sets of yellow see saws and masses</t>
  </si>
  <si>
    <t>• know and apply the principle of conservation of energy
• explain and calculate efficiency in energy transfers.</t>
  </si>
  <si>
    <t>• closed system: where there are no outside influences, no external forces or external heating effects
• efficiency equation:
• principle of conservation of energy: the principle of conservation of energy states that energy is not created or destroyed in any process
• useful energy: the energy which is transferred to stores we want
• wasted energy: the energy which is transferred to stores we do not want</t>
  </si>
  <si>
    <t>Sankey Diagrams and Energy Transfers</t>
  </si>
  <si>
    <t>4.1 use the following unit: joule (J)
4.3 use the principle of conservation of energy
4.4 know and use the relationship between efficiency, useful energy output and total energy input:
efficiency=(useful energy output)/(total energy input)×100%
4.5 describe a variety of everyday and scientific devices and situations, explaining transfer the input energy in terms of the above relationship, including their representation by Sankey diagrams</t>
  </si>
  <si>
    <t>Pages 136–138</t>
  </si>
  <si>
    <t>Class sets of moments rulers</t>
  </si>
  <si>
    <t>Lesson 12 — Sankey Diagrams and Energy Transfers
Specification Points:
4.1 use the following unit: joule (J)
4.3 use the principle of conservation of energy
4.4 know and use the relationship between efficiency, useful energy output and total energy input:
efficiency=(useful energy output)/(total energy input)×100%
4.5 describe a variety of everyday and scientific devices and situations, explaining transfer the input energy in terms of the above relationship, including their representation by Sankey diagrams
Pages 136–138
Requisitions:
Class sets of moments rulers</t>
  </si>
  <si>
    <t>• identify the useful energy output and wasted energy in everyday situations
• use Sankey diagrams
• draw Sankey diagrams.</t>
  </si>
  <si>
    <t>• Sankey diagram: a diagram which shows the flow of energy in an energy transfer.</t>
  </si>
  <si>
    <t>Conduction</t>
  </si>
  <si>
    <t>4.6 describe how thermal energy transfer may take place by conduction, convection and radiation
4.9 practical: investigate thermal energy transfer by conduction, convection and radiation</t>
  </si>
  <si>
    <t>Pages 139–140
Lab Book: Pages 30–31</t>
  </si>
  <si>
    <t>One demo and Practical:
- tripod
- heat-resistant mat
- Bunsen burner
- aluminium rod
- brass rod
- copper rod
- steel rod
- petroleum jelly
- four drawing pins
- Heatproof gloves
- stop clock
Optional:
Previous year 10 demo Water is a poor conductor of heat:
- Boiling tube
- Metal gauze (fit in the boiling tube) (241 TC3)
- Ice cube (do not add water before start)
- Lighter
- Bunsen burner
- Heatproof mat
Previous year 10 demo Thermal expansion:
(Heating causes metal expansion to complete the electrical circuit; ~2 mins, big flame)
- Power supply
- Light bulb
- Wires
- Stand, bosshead, clamp x2
- Copper rod (leave a small gap between the rod and the connector, ~1mm) (245 C20)
- Heatproof mat
- Bunsen burner
- Lighter/ matches</t>
  </si>
  <si>
    <t>• Take care with sharp drawing pins.</t>
  </si>
  <si>
    <t>Lesson 85 — Conduction
Specification Points:
4.6 describe how thermal energy transfer may take place by conduction, convection and radiation
4.9 practical: investigate thermal energy transfer by conduction, convection and radiation
Pages 139–140
Lab Book: Pages 30–31
Requisitions:
One demo and Practical: 
- tripod
- heat-resistant mat
- Bunsen burner
- aluminium rod
- brass rod
- copper rod
- steel rod
- petroleum jelly
- four drawing pins
- Heatproof gloves
- stop clock
Optional: 
Previous year 10 demo Water is a poor conductor of heat:
- Boiling tube
- Metal gauze (fit in the boiling tube) (241 TC3)
- Ice cube (do not add water before start)
- Lighter
- Bunsen burner
- Heatproof mat
Previous year 10 demo Thermal expansion:
(Heating causes metal expansion to complete the electrical circuit; ~2 mins, big flame)
- Power supply
- Light bulb
- Wires
- Stand, bosshead, clamp x2
- Copper rod (leave a small gap between the rod and the connector, ~1mm) (245 C20)
- Heatproof mat
- Bunsen burner
- Lighter/ matches
Notes:
Take care with sharp drawing pins.
Take care with hot apparatus. Do not touch hot equipment directly. Use tongs or heat-proof mats.
Take care with electrical equipment. Do not connect circuits to mains. Switch off power before changing connections.
Handle glassware carefully. Report any breakages to the teacher immediately.</t>
  </si>
  <si>
    <t>• describe how thermal energy transfer may take place by conduction
• explain why metals are better thermal conductors than non-metals
• describe simple demonstrations of different rates of thermal conduction in metals and non-metals.</t>
  </si>
  <si>
    <t>• conduction: the main process of thermal energy transfer in solids
• thermal conductor: a material which easily transfers thermal energy by conduction</t>
  </si>
  <si>
    <t>1. Set up the apparatus as shown in the diagram.
2. Turn on the Bunsen burner and put the heat shields in place around the Bunsen burner. Start the stop clock.
3. Observe and record when the pins drop off each of the metal rods.</t>
  </si>
  <si>
    <t>Convection Currents</t>
  </si>
  <si>
    <t>4.6 describe how thermal energy transfer may take place by conduction, convection and radiation
4.7 explain the role of convection in everyday phenomena
4.9 practical: investigate thermal energy transfer by conduction, convection and radiation</t>
  </si>
  <si>
    <t>Pages 140–144
Lab Book: Pages 32–33</t>
  </si>
  <si>
    <t>Demo 1/ Practical:
- Water soluble gel-like paint /(KMnO4(s), forceps, Hazard card# 81)
- 600ml beaker
- Bunsen burner
- Tripod
- wire gauze
- Heat proof mat
- Spakler
- Heatproof gloves
Demo 2 Convection in air:
- Convection chamber
- Tea candle
- Lighter
- Paper straw
Optional previous year 10 demo Convection in liquid:
- Convection tube apparatus and rack
- Food colour
- Bunsen burner
- Heatproof mat
- Lighter
Optional previous year 10 demo Comparing emitters of radiation:
- Stand, bosshead, clamp
- Hot copper sheet with one side polished and the other blackened (245 C20)</t>
  </si>
  <si>
    <t>• Wear eye protection.
• The hot water may cause burns. make sure you stand up for the investigation.
• Potassium manganate(VII) crystals can cause severe irritation or burns on the skin. Never handle the crystals directly – always use tweezers.</t>
  </si>
  <si>
    <t>Lesson 86 — Convection Currents
Specification Points:
4.6 describe how thermal energy transfer may take place by conduction, convection and radiation
4.7 explain the role of convection in everyday phenomena
4.9 practical: investigate thermal energy transfer by conduction, convection and radiation
Pages 140–144
Lab Book: Pages 32–33
Requisitions:
Demo 1/ Practical:
- Water soluble gel-like paint /(KMnO4(s), forceps, Hazard card# 81)
- 600ml beaker
- Bunsen burner
- Tripod
- wire gauze
- Heat proof mat
- Spakler
- Heatproof gloves
Demo 2 Convection in air:
- Convection chamber
- Tea candle
- Lighter
- Paper straw
Optional previous year 10 demo Convection in liquid:
- Convection tube apparatus and rack
- Food colour
- Bunsen burner
- Heatproof mat
- Lighter
Optional previous year 10 demo Comparing emitters of radiation:
- Stand, bosshead, clamp
- Hot copper sheet with one side polished and the other blackened (245 C20)
Notes:
Demo 1: As we only have potassium permanganate powder instead of crystals, the results are less effective. We could consider using water soluble gel-like paint as a replacement, as it produces clearer results and is safer than potassium permanganate powder.
Wear eye protection.
The hot water may cause burns. make sure you stand up for the investigation.
Potassium manganate(VII) crystals can cause severe irritation or burns on the skin. Never handle the crystals directly – always use tweezers.
Take care with hot apparatus. Do not touch hot equipment directly. Use tongs or heat-proof mats.</t>
  </si>
  <si>
    <t>• explain the process of convection
• explain the role of convection in everyday phenomena.</t>
  </si>
  <si>
    <t>• convection: a process which causes thermal energy to be transferred in fluids
• convection current: the movement of material in a fluid due to density changes
• fluid: a liquid or gas</t>
  </si>
  <si>
    <t>1. Set up the apparatus as shown in the diagram.
2. Use the tweezers to drop couple of potassium manganate(VII) crystals into the water, at one side of the beaker.
3. Watch and record what you notice using an annotated diagram.</t>
  </si>
  <si>
    <t>Radiation</t>
  </si>
  <si>
    <t>4.6 describe how thermal energy transfer may take place by conduction, convection and radiation
4.8 explain how emission and absorption of radiation are related to surface and temperature
4.9 practical: investigate thermal energy transfer by conduction, convection and radiation</t>
  </si>
  <si>
    <t>Pages 142–143
Lab Book: Pages 34–36</t>
  </si>
  <si>
    <t>Practical:
- Four boiling tubes
- Black paper, white paper and silver paper or aluminium foil
- Cotton wool
- kettle
- Boiling tube rack
- Measuring cylinder, 25mL
- Four thermometers
- Stopwatch
- Tape
- Cotton glove</t>
  </si>
  <si>
    <t>Take care with hot water.</t>
  </si>
  <si>
    <t>Lesson 87 — Radiation
Specification Points:
4.6 describe how thermal energy transfer may take place by conduction, convection and radiation
4.8 explain how emission and absorption of radiation are related to surface and temperature
4.9 practical: investigate thermal energy transfer by conduction, convection and radiation
Pages 142–143
Lab Book: Pages 34–36
Requisitions:
Practical:
- Four boiling tubes
- Black paper, white paper and silver paper or aluminium foil
- Cotton wool
- kettle
- Boiling tube rack
- Measuring cylinder, 25mL
- Four thermometers
- Stopwatch
- Tape
- Cotton glove
Notes:
Take care with hot water.
Take care with hot apparatus. Do not touch hot equipment directly. Use tongs or heat-proof mats.
Handle glassware carefully. Report any breakages to the teacher immediately.</t>
  </si>
  <si>
    <t>• describe how thermal energy transfer may take place by radiation
• explain how the rates of emission and absorption of radiation by different materials are used to design everyday objects.</t>
  </si>
  <si>
    <t>• absorbing: taking in radiation, which has the effect of increasing temperature
• emitting: giving out radiation, which has the effect of decreasing temperature
• radiation: electromagnetic waves which transfer energy (as opposed to nuclear radiation emitted from atoms)</t>
  </si>
  <si>
    <t>1. Cover three boiling tubes in the different coloured papers. The boiling tube without paper is the control. Try to use the same thickness of paper for each of the tubes. Fasten the paper in place with sticky tape. Put the boiling tubes in the boiling tube rack.
2. Use the measuring cylinder to pour the same volume of hot water from a kettle into each tube.
3. Measure the temperature of the water in each tube and start the stop clock.
4. Record the temperature of the water in each tube every 2 minutes for 20 minutes.</t>
  </si>
  <si>
    <t>Reducing Unwanted Energy Transfers</t>
  </si>
  <si>
    <t>4.6 describe how thermal energy transfer may take place by conduction, convection and radiation
4.7 explain the role of convection in everyday phenomena
4.10 explain ways of reducing unwanted energy transfer, such as insulation</t>
  </si>
  <si>
    <t>Pages 145–147</t>
  </si>
  <si>
    <t>Lesson 88 — Reducing Unwanted Energy Transfers
Specification Points:
4.6 describe how thermal energy transfer may take place by conduction, convection and radiation
4.7 explain the role of convection in everyday phenomena
4.10 explain ways of reducing unwanted energy transfer, such as insulation
Pages 145–147</t>
  </si>
  <si>
    <t>• give examples of situations in which there are unwanted energy transfers
• explain how unwanted energy transfers can be reduced, such as by using insulation.</t>
  </si>
  <si>
    <t>• aerodynamic: designed to reduce air resistance
• conduction: the main process of thermal energy transfer in solids
• convection: a process which causes thermal energy to be transferred in fluids
• insulator: a material that greatly reduces the transfer of thermal energy to the surroundings
• lubricant: a substance like oil or grease which is used to allow moving parts to move smoothly
• radiation: electromagnetic waves which transfer energy (as opposed to nuclear radiation emitted from atoms)</t>
  </si>
  <si>
    <t>Energy Resources 1</t>
  </si>
  <si>
    <t>4.18P describe the energy transfers involved in generating electricity using: 
•	fossil fuels
•	nuclear power
4.19P describe the advantages and disadvantages of methods of large-scale electricity production from various renewable and non-renewable resources</t>
  </si>
  <si>
    <t>Pages 158–161 and 165–166</t>
  </si>
  <si>
    <t>produces nuclear waste which is extremely dangerous and needs to be disposed of</t>
  </si>
  <si>
    <t>Lesson 110 — Energy Resources 1
Specification Points:
4.18P describe the energy transfers involved in generating electricity using: 
•	fossil fuels
•	nuclear power
4.19P describe the advantages and disadvantages of methods of large-scale electricity production from various renewable and non-renewable resources
Pages 158–161 and 165–166</t>
  </si>
  <si>
    <t>• describe the energy transfers involved in generating electricity using nuclear fuels and fossil fuels
• describe the advantages and disadvantages of large-scale electricity production from nuclear fuels and fossil fuels
• explain and use the terms reliable, renewable and non-renewable.</t>
  </si>
  <si>
    <t>• climate change: a change in global climate due to changes in the atmosphere
• fossil fuels: fossil remains which are carbon based and can be burnt to generate electricity
• non-renewable: an energy resource which will be used up and cannot be replaced after use
• nuclear power: a process of generating electricity from nuclear fuels
• renewable: an energy resource which will not run out</t>
  </si>
  <si>
    <t>Energy Resources 2</t>
  </si>
  <si>
    <t>4.18P describe the energy transfers involved in generating electricity using: 
•	geothermal resources 
•	solar heating systems 
•	solar cells 
4.19P describe the advantages and disadvantages of methods of large-scale electricity production from various renewable and non-renewable resources</t>
  </si>
  <si>
    <t>Pages 161–165</t>
  </si>
  <si>
    <t>Lesson 111 — Energy Resources 2
Specification Points:
4.18P describe the energy transfers involved in generating electricity using: 
•	geothermal resources 
•	solar heating systems 
•	solar cells 
4.19P describe the advantages and disadvantages of methods of large-scale electricity production from various renewable and non-renewable resources
Pages 161–165</t>
  </si>
  <si>
    <t>• describe the energy transfers involved in generating electricity using geothermal, solar heating systems, and solar cells
• describe the advantages and disadvantages of large-scale electricity production from geothermal, solar heating systems, and solar cells.</t>
  </si>
  <si>
    <t>• geothermal energy: energy produced using the heat from the ground
• solar cells (photovoltaic cells): a solid-state device which produces useful voltage by absorbing light
• solar heating: warming houses using light and other radiation from the Sun</t>
  </si>
  <si>
    <t>Energy Resources 3</t>
  </si>
  <si>
    <t>4.18P describe the energy transfers involved in generating electricity using: 
•	wind 
•	water 
4.19P describe the advantages and disadvantages of methods of large-scale electricity production from various renewable and non-renewable resources</t>
  </si>
  <si>
    <t>Pages 163–166</t>
  </si>
  <si>
    <t>Lesson 112 — Energy Resources 3
Specification Points:
4.18P describe the energy transfers involved in generating electricity using: 
•	wind 
•	water 
4.19P describe the advantages and disadvantages of methods of large-scale electricity production from various renewable and non-renewable resources
Pages 163–166</t>
  </si>
  <si>
    <t>• describe the energy transfers involved in generating electricity using wind and water
• describe the advantages and disadvantages of large-scale electricity production from wind and water.</t>
  </si>
  <si>
    <t>• hydroelectricity: generating electricity using water trapped behind a dam
• tidal power: generating electricity from the tidal flow of water
• wind turbine: a device which generates electricity from air currents</t>
  </si>
  <si>
    <t>Mark three points at fixed distances from the light gate (e.g., 40, 50 and 60 cm) and release the car from rest from those points.
Record its speed when passing through the light gate for each distance.
A student is investigating the time balls take to reach the ground when dropped from different heights.
Suggest measurements that the student could make to investigate this prediction.
Decide what equipment would be the most appropriate to measure height and time.
List the variables that need to be controlled (kept constant) to make this a fair investigation.
The student should measure the time it takes the ball to fall from various heights (for example, from 50 cm all the way up to 150 cm).
The student could use a stopwatch or video camera for the time, and a tape measure for the distance.
Example resultsheight/ mtime 1/ stime 2/ stime 3/ smean time/ s0.10⁰.450.490.470.47</t>
  </si>
  <si>
    <t>Static Charges</t>
  </si>
  <si>
    <t>2.22P identify common materials which are electrical conductors or insulators, including metals and plastics
2.23P practical: investigate how insulating materials can be charged by friction
2.25P know that there are forces of attraction between unlike charges and forces of repulsion between like charges</t>
  </si>
  <si>
    <t>Pages 84–88
Lab Book: Pages 14–16</t>
  </si>
  <si>
    <t>Requisitions: Demo
Van de Graaff generator. Some accessories are always provided.
Optional Florescent bulbs.
Polystyrene insulating boards.
Safety warning card.
Class prac
Acetate (/ nylon rod) and Polythene rods, cloths for rubbing, paper dots.
Usual static electricity equipment—watch glasses etc.
Additional equipment (lesson resources):
6 V battery pack or power supply 3 connecting leads
crocodile clips
6 V lamp ammeter (optional)
range of materials or objects to test including polythene, acetate, various
metals, graphite rod, glass and Teflon</t>
  </si>
  <si>
    <t>• Use this simple demonstration to remind students about conductors and insulators. Sample materials are placed in a circuit containing a lamp; the lamp will light up if the material is a good conductor.
• By the end of the demonstration the students should understand that metals are good conductors, and that graphite is also a good conductor. They should know that most non-metals are insulators.
• Be careful with the glass rod if one is used. It must be rubbed gently to avoid it breaking.
• There are no safety concerns to consider for the practical.</t>
  </si>
  <si>
    <t>Lesson 21 — Static Charges
Specification Points:
2.22P identify common materials which are electrical conductors or insulators, including metals and plastics
2.23P practical: investigate how insulating materials can be charged by friction
2.25P know that there are forces of attraction between unlike charges and forces of repulsion between like charges
Pages 84–88
Lab Book: Pages 14–16
Requisitions:
Requisitions: Demo 
Van de Graaff generator. Some accessories are always provided.
Optional Florescent bulbs.  
Polystyrene insulating boards.
Safety warning card.
Class prac 
Acetate (/ nylon rod) and Polythene rods, cloths for rubbing, paper dots.  
Usual static electricity equipment—watch glasses etc.
Additional equipment (lesson resources):
6 V battery pack or power supply 3 connecting leads
crocodile clips
6 V lamp ammeter (optional)
range of materials or objects to test including polythene, acetate, various
metals, graphite rod, glass and Teflon
Notes:
Do lessons 21 to 23 before L13 for P only.
We couldn’t find acetate rods to purchase in Hong Kong, so use nylon to replace. It works similarly. (Carol)
Take care with electrical equipment. Do not connect circuits to mains. Switch off power before changing connections.</t>
  </si>
  <si>
    <t>• identify common electrical conductors and insulators
• investigate how insulating materials can be charged by friction
• explain how the forces of repulsion and attraction arise from charged objects.</t>
  </si>
  <si>
    <t>• conductor: a material which can carry an electric current
• coulomb (C): the unit of electric charge
• electric charge (Q): a property some particles or objects have; charge can be either positive or negative
• electric current (I): the rate of flow of electric charge
• electron: the negatively charged particle responsible for electric currents in metals
• insulator: a material which cannot carry an electric current
• semiconductors: materials which conduct slightly and are used in a wide range of electronics
• static electricity: the build-up of non-moving charges in objects</t>
  </si>
  <si>
    <t>1. Connect the battery pack in series to the lamp and/or ammeter leaving a gap in the circuit to place the test materials
2. Ask students to predict whether the material will conduct.
3. Connect each material in turn.
4. Students should observe whether the lamp lights up or the ammeter shows a reading.
1. Place the paper pieces in a pile.
2. Use the cloth to rub one of the rods for about 10 seconds.
3. Hold the rod above the paper and slowly lower it.
4. Observe the behaviour of the paper. Record your findings.
5. Repeat with the other rods. Record your findings.
1. Charge one of the rods by rubbing it gently with the cloth for 30 seconds.
2. Once the rod is charged, place it carefully in the hammock so that it can swing freely. Try not to allow the rod to touch anything as you do this, as it may cause the rod to lose some charge. It is worth practising this before carrying out the experiment.
3. Use the cloth to charge another rod.
4. Move the end of the second rod slowly towards the end of the rod in the hammock. Make sure they do not touch.
5. The rods should either attract or repel each other. Record your findings. If the rod in the hammock twists towards the second rod, then they are attracting each other. If the rod in the hammock twists away the second rod, then they are repelling each other.
6. Test as many different combinations of rods as possible. Record your findings.</t>
  </si>
  <si>
    <t xml:space="preserve">Explaining Electrostatic Effects </t>
  </si>
  <si>
    <t>2.24P Explain how positive and negative electrostatic charges are produced on materials by the loss and gain of electrons
2.25P know that there are forces of attraction between unlike charges and forces of repulsion between like charges
2.26P explain electrostatic phenomena in terms of the movement of electrons</t>
  </si>
  <si>
    <t>Pages 84–88</t>
  </si>
  <si>
    <t>Practical 1:
Experiment A: PE rod, paper dots, cotton or woolen cloth
Experiment B: PE rod, tap to produce narrow stream of water, cotton or woolen cloth
Experiment C: inflated party balloon
Experiment D: two inflated party balloons tied on thin cotton thread (at least 10cm to allow some space between two balloons)
Practical 2:
- Electroscope (gold leaf apparatus)
- Acetate rod (couldn’t find to purchase, so use PE rod to replace)
- Cotton or woollen cloth
Additional equipment (lesson resources):
Experiment A: polythene rod or plastic comb, small pieces of tissue paper, a
Experiment B: polythene rod or plastic comb, apparatus or tap to produce narrow
stream of water, a cotton or woollen cloth
Experiment D: two inflated party balloons on thin, non-conducting cotton</t>
  </si>
  <si>
    <t>• Be careful not to break any of the rods or burst the balloons.</t>
  </si>
  <si>
    <t>Lesson 22 — Explaining Electrostatic Effects
Specification Points:
2.24P Explain how positive and negative electrostatic charges are produced on materials by the loss and gain of electrons
2.25P know that there are forces of attraction between unlike charges and forces of repulsion between like charges
2.26P explain electrostatic phenomena in terms of the movement of electrons
Pages 84–88
Requisitions:
Practical 1:
Experiment A: PE rod, paper dots, cotton or woolen cloth
Experiment B: PE rod, tap to produce narrow stream of water, cotton or woolen cloth
Experiment C: inflated party balloon
Experiment D: two inflated party balloons tied on thin cotton thread (at least 10cm to allow some space between two balloons)
Practical 2:
- Electroscope (gold leaf apparatus)
- Acetate rod (couldn’t find to purchase, so use PE rod to replace)
- Cotton or woollen cloth
Additional equipment (lesson resources):
Experiment A: polythene rod or plastic comb, small pieces of tissue paper, a
Experiment B: polythene rod or plastic comb, apparatus or tap to produce narrow
stream of water, a cotton or woollen cloth
Experiment D: two inflated party balloons on thin, non-conducting cotton
Notes:
Combine with lesson 23?</t>
  </si>
  <si>
    <t>• explain the interactions between charged objects
• describe how objects become charged in terms of transfer of electrons
• explain how the forces of repulsion and attraction arise from charged objects.</t>
  </si>
  <si>
    <t>• charging by induction: when parts of an object become electrically charged because another charged object is brought near
• conductor: a material that can carry an electric current
• electric charge (Q): a property some particles or objects have; charge can be either positive or negative
• electron: the negatively charged particle responsible for electric currents in metals
• electrostatic forces: non-contact forces that exist between electrically charged particles or objects at rest
• insulator: a material that cannot carry an electric current
• static electricity: the build-up of non-moving charges in objects</t>
  </si>
  <si>
    <t>Experiment A
1. Use the cloth to rub the comb or polythene
rod. This
gives the comb or rod a negative charge.
2. Hold the charged comb or rod just
above the
pieces of tissue paper.
3. Record your observations for the
experiment.
Experiment B
4. Use the cloth to rub the comb or polythene
rod. This
gives the comb or rod a negative charge.
5. Turn on a tap so that it produces a thin
stream of
water.
6. Hold the charged rod or comb close to the
water, but
not touching it.
7. Can you make the stream of water
bend?
8. Record your observations for the
experiment.
Experiment C
9. Rub the balloon on your jumper, skirt or
trousers.
This gives the balloon a negative charge.
10. Hold the balloon against a wall. Will it
stick to the
wall when you take your hand away?
11. Record your observations for the
experiment.
Experiment D
12. Hold the uncharged balloons by the end of
the cotton
and observe them.
13. Rub the two balloons on your jumper,
skirt or
trousers. This gives the balloons a negative charge.
14. Hold the balloons by the end of the</t>
  </si>
  <si>
    <t xml:space="preserve">The Dangers of Static Electricity </t>
  </si>
  <si>
    <t>2.27P explain the potential dangers of electrostatic charges, e.g. when fuelling aircraft and tankers</t>
  </si>
  <si>
    <t>Pages 91–92</t>
  </si>
  <si>
    <t>Demo:
- Van de Graaff Generator
- Van de Graaff generator and accessories
- Attach Safety warning card (people having pacemaker or any medical electronic devices, at least 6m away)
- Polystyrene board (243 Above TC2)
Additional equipment (lesson resources):
Van de Graaff (VDG) generator and accessories
wooden metre rule
small fluorescent tube</t>
  </si>
  <si>
    <t>• See local guidance for use of a VDG generator – especially note about medical conditions (e.g. do not use near pacemakers.)
• The VDG generator can damage sensitive electronic devices – do not use near mobile phones.
• DO NOT charge up more than one person at a time.
• In this activity you will demonstrate some electrostatic effects and show that a build-up of charge can produce potentially dangerous sparks. If a demonstration is not possible, use a video.</t>
  </si>
  <si>
    <t>Lesson 23 — The Dangers of Static Electricity
Specification Points:
2.27P explain the potential dangers of electrostatic charges, e.g. when fuelling aircraft and tankers
Pages 91–92
Requisitions:
Demo:
- Van de Graaff Generator
- Van de Graaff generator and accessories
- Attach Safety warning card (people having pacemaker or any medical electronic devices, at least 6m away)
- Polystyrene board (243 Above TC2)
Additional equipment (lesson resources):
Van de Graaff (VDG) generator and accessories
wooden metre rule
small fluorescent tube
Notes:
Combine with lesson 22?
(e.g. do not use near pacemakers.)
The VDG generator can damage sensitive electronic devices – do not use near mobile phones.</t>
  </si>
  <si>
    <t>• describe some of the dangers associated with static electricity.</t>
  </si>
  <si>
    <t>• hazard:&amp;nbsp;an object or action that could pose a danger
• risk: the likelihood of something dangerous happening
• Van de Graaff generator: a device used to generate static electricity</t>
  </si>
  <si>
    <t>1. Assemble and connect the VDG generator according to the model’s instructions. The discharging wand should be connected to Earth.
2. Demonstrate the production of sparks by charging the dome and bringing the discharge wand close.
3. Show the way the discharge wand is connected by a wire to the Earth.
4. Turn the VDG generator off and discharge it.
5. Demonstrate charging a person (after checking safety procedures) by asking them to stand on an insulator and hold the dome with a palm of their hand, then switching the VDG generator on. This can also be demonstrated by placing a long-haired doll or similar on the top of the dome.
6. Demonstrate a current from the VDG generator using a small fluorescent tube. One end of the tube is held near or touching the dome while the other is in your hand. There will be a current large enough to cause the tube to flicker or light dimly.
7. Other demonstrations are possible – instructions should be with the VDG generator kit.</t>
  </si>
  <si>
    <t>The Uses of Static Electricity</t>
  </si>
  <si>
    <t>2.28P explain some uses of electrostatic charges, e.g. in photocopiers and inkjet printers</t>
  </si>
  <si>
    <t>Pages 89–92</t>
  </si>
  <si>
    <t>Lesson 24 — The Uses of Static Electricity
Specification Points:
2.28P explain some uses of electrostatic charges, e.g. in photocopiers and inkjet printers
Pages 89–92</t>
  </si>
  <si>
    <t>• describe some of the uses of static electricity.</t>
  </si>
  <si>
    <t>• electrostatic painting: using electrostatics to assist with producing a smooth paint covering of objects
• electrostatic smoke precipitator: a system used to remove dust and smoke from power station waste gases</t>
  </si>
  <si>
    <t xml:space="preserve">Electrical Charge and Current </t>
  </si>
  <si>
    <t>2.12 know that lamps and LEDs can be used to indicate the presence of a current in a circuit
2.14 know that current is the rate of flow of charge
2.15 know and use the relationship between charge, current and time:
charge = current × time 
Q = I × t
2.16 know that electric current in solid metallic conductors is a flow of negatively charged electrons</t>
  </si>
  <si>
    <t>Pages 67–69 and 73–74</t>
  </si>
  <si>
    <t>Requisitions: Cells, Ammeters, Voltmeters, wires, lightbulbs, LED, power packs
(Optional Demo for DA because this might be the first lesson for them, depends on the teacher:
- Van de Graaff Generator
- Van de Graaff generator and accessories
- Attach Safety warning card (people having pacemaker or any medical electronic devices, at least 6m away)
- Polystyrene board)</t>
  </si>
  <si>
    <t>Take care with electrical equipment. Do not connect circuits to mains. Switch off power before changing connections.</t>
  </si>
  <si>
    <t>Lesson 13 — Electrical Charge and Current
Specification Points:
2.12 know that lamps and LEDs can be used to indicate the presence of a current in a circuit
2.14 know that current is the rate of flow of charge
2.15 know and use the relationship between charge, current and time:
charge = current × time 
Q = I × t
2.16 know that electric current in solid metallic conductors is a flow of negatively charged electrons
Pages 67–69 and 73–74
Requisitions:
Requisitions: Cells, Ammeters, Voltmeters, wires, lightbulbs, LED, power packs
(Optional Demo for DA because this might be the first lesson for them, depends on the teacher: 
- Van de Graaff Generator
- Van de Graaff generator and accessories
- Attach Safety warning card (people having pacemaker or any medical electronic devices, at least 6m away)
- Polystyrene board)
Notes:
Start with circuit components and basic circuit diagrams? Especially since students may not have done any electricity before. Old Y11 P6L1
Take care with electrical equipment. Do not connect circuits to mains. Switch off power before changing connections.</t>
  </si>
  <si>
    <t>• explain the difference between charge and current
• describe current as a flow of charge
• know and use the relationship: charge = current × time.</t>
  </si>
  <si>
    <t>• ammeter: an instrument to measure electric current
• ampere (A): the unit of electric current
• conductor: a material that can carry an electric current
• coulomb (C): the unit of electric charge
• electric charge (Q): a property some particles or objects have; charge can be either positive or negative charge = current × time (Q = I × t )
• electric current (I): the rate of flow of electric charge
• electrons: the negatively charged particles responsible for electric currents in metals
• insulator: a material that cannot carry an electric current</t>
  </si>
  <si>
    <t>Current and Voltage</t>
  </si>
  <si>
    <t>2.1 use the following units: ampere (A), coulomb (C), joule (J), ohm (Ω), second (s) and volt (V) 
2.8 understand how the current in a series circuit depends on the applied voltage and the number and nature of other components
2.10 describe the qualitative effect of changing resistance on the current in a circuit</t>
  </si>
  <si>
    <t>Pages 69–74</t>
  </si>
  <si>
    <t>Requisitions: Cells, lightbulbs, Ammeters, Voltmeters, wires, diodes, power packs</t>
  </si>
  <si>
    <t>Lesson 15 — Current and Voltage
Specification Points:
2.1 use the following units: ampere (A), coulomb (C), joule (J), ohm (Ω), second (s) and volt (V) 
2.8 understand how the current in a series circuit depends on the applied voltage and the number and nature of other components
2.10 describe the qualitative effect of changing resistance on the current in a circuit
Pages 69–74
Requisitions:
Requisitions: Cells, lightbulbs, Ammeters, Voltmeters, wires, diodes, power packs
Notes:
Start with circuit components and basic circuit diagrams? Especially since students may not have done any electricity before. Old Y11 P6L1
(Check with teacher what component they want to use. Bulbs / resistors (Edexcel)? (Carol))
Take care with electrical equipment. Do not connect circuits to mains. Switch off power before changing connections.</t>
  </si>
  <si>
    <t>• understand current in simple series circuits
• understand qualitatively the effect on current of changing the applied voltage
• understand that when more resistors are added to a series circuit the current decreases.</t>
  </si>
  <si>
    <t>• ammeter: an instrument used to measure electric current
• ampere (A): the unit of electric current
• electric current (I ): the rate of flow of electric charge
• ohm (Ω): the unit of electrical resistance
• resistance: the difficulty current experiences in a circuit
• resistor: a component designed to reduce the current in a circuit
• voltage (V ): the amount of energy carried by each unit of charge from a cell/battery or power supply to the circuit components</t>
  </si>
  <si>
    <t>Investigating Thermistors and Light-Dependent Resistors</t>
  </si>
  <si>
    <t>2.10 describe the qualitative effect of changing resistance on the current in a circuit
2.11 describe the qualitative variation of resistance of light-dependent resistors (LDRs) with illumination and thermistors with temperature</t>
  </si>
  <si>
    <t>Pages 80–83</t>
  </si>
  <si>
    <t>Requisitions: thermistors demo, LDR demo
Practical 1:
- thermistor
- thermometer
- ohmmeter (multimeter)
- wires
- kettle
- beaker
- ice (for cooling the water quickly)
Practical 2:
- light-dependent resistor (LDR)
- ohmmeter (multimeter)
- Wires
- bright lamp
- metre rule</t>
  </si>
  <si>
    <t>Lesson 16 — Investigating Thermistors and Light-Dependent Resistors
Specification Points:
2.10 describe the qualitative effect of changing resistance on the current in a circuit
2.11 describe the qualitative variation of resistance of light-dependent resistors (LDRs) with illumination and thermistors with temperature
Pages 80–83
Requisitions:
Requisitions: thermistors demo, LDR demo
Practical 1:
- thermistor
- thermometer
- ohmmeter (multimeter)
- wires
- kettle
- beaker
- ice (for cooling the water quickly)
Practical 2:
- light-dependent resistor (LDR)
- ohmmeter (multimeter)
- Wires
- bright lamp
- metre rule
Notes:
Don't need a whole lesson for this.</t>
  </si>
  <si>
    <t>• investigate how the resistance of a thermistor varies with temperature
• investigate how the resistance of a light-dependent resistor (LDR) varies with light intensity (brightness)
• plot graphs showing how resistance varies with an external factor.</t>
  </si>
  <si>
    <t>• light-dependent resistor (LDR): a circuit component that changes resistance depending on the brightness of the light falling on it
• ohm (Ω): the unit of electrical resistance
• resistance: the difficulty current experiences in a circuit
• resistor: a component designed to reduce the current in a circuit
• semiconductor: a material that has high electrical resistance in some conditions but will conduct electricity in others
• thermistor: a circuit component that changes resistance depending on its temperature</t>
  </si>
  <si>
    <t>Changing Resistance and Alternating Current</t>
  </si>
  <si>
    <t>2.6 know the difference between mains electricity being alternating current (a.c.) and direct current (d.c.) being supplied by a cell or battery
2.11 describe the qualitative variation of resistance of light-dependent resistors (LDRs) with illumination and thermistors with temperature
2.10 describe the qualitative effect of changing resistance on the current in a circuit</t>
  </si>
  <si>
    <t>Pages 65 and 80</t>
  </si>
  <si>
    <t>Students need to know how voltage and current behave in a series and parallel circuit - do activity from Y11 P6L2
P6 Lesson 2: Electric Currents
Practical:
Series and Parallel Circuits
- Ammeter
- Voltmeter
- Wires
- Cells
- Bulbs
Additional equipment (lesson resources):
oscilloscope
signal generator connecting leads
1.5
V or 3.0
V lamp
1.5
V cell or 3.0
V battery (to match the
lamp)</t>
  </si>
  <si>
    <t>• Do not attempt to show mains voltages. While many oscilloscopes can handle these, they pose an unnecessary risk of electrocution in this demonstration.
• Students do not need to be able to operate the oscilloscope or understand the details of its controls. However, they should be able to look at the screen and decide if a signal is a.c. or d.c.</t>
  </si>
  <si>
    <t>Lesson 17 — Changing Resistance and Alternating Current
Specification Points:
2.6 know the difference between mains electricity being alternating current (a.c.) and direct current (d.c.) being supplied by a cell or battery
2.11 describe the qualitative variation of resistance of light-dependent resistors (LDRs) with illumination and thermistors with temperature
2.10 describe the qualitative effect of changing resistance on the current in a circuit
Pages 65 and 80
Requisitions:
Students need to know how voltage and current behave in a series and parallel circuit - do activity from Y11 P6L2
P6 Lesson 2: Electric Currents
Practical:
Series and Parallel Circuits
- Ammeter
- Voltmeter
- Wires
- Cells
- Bulbs
Additional equipment (lesson resources):
oscilloscope
signal generator connecting leads
1.5
V or 3.0
V lamp
1.5
V cell or 3.0
V battery (to match the
lamp)
Notes:
Do not attempt to show mains voltages. While many oscilloscopes can handle these, they pose an unnecessary risk of electrocution in this demonstration.
Take care with electrical equipment. Do not connect circuits to mains. Switch off power before changing connections.</t>
  </si>
  <si>
    <t>• analyse graphs of resistance for thermistors and light-dependent resistors
• describe the difference between alternating current (a.c.) and direct current (d.c.)
• compare oscilloscope traces for a.c. and d.c.</t>
  </si>
  <si>
    <t>• alternating current (a.c.): a current that reverses direction periodically – many times a second
• direct current (d.c.): a current that only travels in one direction
• light-dependent resistor (LDR): a circuit component that changes resistance depending on the brightness of the light falling on it
• thermistor: a circuit component that changes resistance depending on its temperature</t>
  </si>
  <si>
    <t>1. Set the oscilloscope time base to 10 ms/div. This is not important for the d.c. signal but it helps to have everything set up for when a.c. is shown.
2. Set the volts/div control to 1.0 V per division.
3. Connect the battery in series with the lamp and switch the circuit on.
4. Show students the trace on the oscilloscope screen – it should be a horizontal line across the centre. If not, then adjust the position of the line with the oscilloscope controls (vertical offset).
5. Place the oscilloscope probes across the lamp terminals to measure the voltage across the lamp. The horizontal line is now higher on the screen.
6. Adjust the volts per division to 2.0 V/div and show that the line moves again.
7. Set the signal generator to produce a sine wave of frequency 50 Hz.
8. Connect the oscilloscope to the signal generator output.
9. Adjust the volts/div until a clear sine wave can be seen on the screen. The exact setting will depend on the output voltage of the signal generator but is likely to be less than 1.0 V/div.
1. In your group of three, hold the rope, so it forms a horizontal circle.
2. Decide which group member should act as the battery. This person will pull gently on the rope in one direction so that it moves through the hands of the other two. The pull is like the voltage of a circuit.
3. The other two people grip the rope very gently so that it passes through their hands. They are acting as resistors in the circuit.
4. As the rope moves you should see the stripes or dots gradually move around from one end to the other. These represent the electrons in the circuit. Note that the electrons are moving around the circuit in only one direction. You are modelling direct current.</t>
  </si>
  <si>
    <t xml:space="preserve">Current, Voltage and Resistance </t>
  </si>
  <si>
    <t>2.10 describe the qualitative effect of changing resistance on the current in a circuit
2.13 know and use the relationship between voltage, current and resistance: voltage = current × resistance
V = I × R</t>
  </si>
  <si>
    <t>Pages 75–76 and 83</t>
  </si>
  <si>
    <t>battery
ammeter
voltmeter
crocodile clips
connecting leads
lamps
range of fixed-value resistors
switch</t>
  </si>
  <si>
    <t>• Ensure that you use low voltages to keep any currents below 1 A.</t>
  </si>
  <si>
    <t>Lesson 18 — Current, Voltage and Resistance
Specification Points:
2.10 describe the qualitative effect of changing resistance on the current in a circuit
2.13 know and use the relationship between voltage, current and resistance: voltage = current × resistance
V = I × R
Pages 75–76 and 83
Requisitions:
battery
ammeter
voltmeter
crocodile clips
connecting leads
lamps
range of fixed-value resistors
switch
Notes:
Take care with electrical equipment. Do not connect circuits to mains. Switch off power before changing connections.</t>
  </si>
  <si>
    <t>• form the equation which relates current, voltage and resistance
• use the relationship voltage = current × resistance in a variety of contexts
• measure resistance in practical circuits using an ammeter and a voltmeter.</t>
  </si>
  <si>
    <t>• ampere (A): the unit of electric current
• electric current (I): the rate of flow of electric charge
• ohm (Ω): the unit of electrical resistance
• resistance (R): the difficulty current experiences in a circuit
• volt (V): the unit for voltage
• voltage (V): the amount of energy carried by each unit of charge from a cell/battery or power supply to the circuit components</t>
  </si>
  <si>
    <t>1. Demonstrate how to construct a circuit to measure the resistance of a component with an ammeter and voltmeter.
2. Construct the circuit one piece at a time, explaining what each component is for.
3. Once the circuit is complete, remind students how to take the current and voltage readings and demonstrate how to use these values to calculate the resistance.
1. Construct the test circuit as shown.
2. Place a component between the crocodile clips.
3. Turn on the switch.
4. Measure and record the current through the component and the voltage across it.
5. Turn the switch off.
6. Calculate the resistance of the component using the appropriate equation.
7. Repeat the process for all the fixed-value resistors and the lamps.
8. Examine the variable resistor.
9. Connect the variable resistor into the circuit and explore how its resistance changes when it is adjusted.</t>
  </si>
  <si>
    <t>Current–Voltage Characteristics</t>
  </si>
  <si>
    <t>2.9 describe how current varies with voltage in wires, resistors, metal filament lamps and diodes, and how to investigate this experimentally
2.13 know and use the relationship between voltage, current and resistance:
voltage = current × resistance
V = I × R</t>
  </si>
  <si>
    <t>Pages 77–78</t>
  </si>
  <si>
    <t>Practical:
- Ammeter
- Voltmeter
- Cell
- Wire
- Switch
- Rheostat
- Constantan, SWG36, 10cm
- Wire cutter
- Heatproof mat
- Cotton gloves
- Resistor box (10-40ohm)
Additional equipment (lesson resources):
battery pack or low voltage d.c. power supply
7 connecting leads
2 crocodile clips
variable resistor (rheostat)
length of nichrome or constantan wire (with resistance of 5–10 Ω)</t>
  </si>
  <si>
    <t>• Use low voltages to keep any currents below 1 A.
• Do not touch the wire until it has cooled down.
• Make sure students record the data they have collected in a table for analysis. Display the table template in the Slideshow: Results table . Students should copy and complete the table in their exercise books.</t>
  </si>
  <si>
    <t>Lesson 19 — Current–Voltage Characteristics
Specification Points:
2.9 describe how current varies with voltage in wires, resistors, metal filament lamps and diodes, and how to investigate this experimentally
2.13 know and use the relationship between voltage, current and resistance:
voltage = current × resistance
V = I × R
Pages 77–78
Requisitions:
Practical:
- Ammeter
- Voltmeter
- Cell
- Wire
- Switch
- Rheostat
- Constantan, SWG36, 10cm
- Wire cutter
- Heatproof mat
- Cotton gloves
- Resistor box (10-40ohm)
Additional equipment (lesson resources):
battery pack or low voltage d.c. power supply
7 connecting leads
2 crocodile clips
variable resistor (rheostat)
length of nichrome or constantan wire (with resistance of 5–10 Ω)
Notes:
Do not touch the wire until it has cooled down.
Take care with hot apparatus. Do not touch hot equipment directly. Use tongs or heat-proof mats.
Take care with electrical equipment. Do not connect circuits to mains. Switch off power before changing connections.</t>
  </si>
  <si>
    <t>• calculate the resistance of components using the relationship voltage = current × resistance
• plan an investigation of how current varies with applied voltage for a wire and a resistor
• plot current–voltage graphs for a wire and a resistor
• describe the relationship between current and voltage for a wire and resistor.</t>
  </si>
  <si>
    <t>• ammeter: a device used to measure current in a circuit
• current–voltage characteristics graph: a graph showing the relationship between the current and voltage for a component
• ohmic conductor: a device where the resistance does not change with the current (as long as external conditions do not change)
• variable resistor: a resistor with changeable resistance which can be used to change the resistance in a circuit
• voltmeter: a device used for measuring voltages in a circuit</t>
  </si>
  <si>
    <t>1. Construct the test circuit as shown.
2. Connect the test wire between the crocodile clips.
3. Set the variable resistor to its highest resistance setting.
4. Turn on the switch and adjust the variable resistor until there is a voltage of 3.0 V across the wire.
5. Turn the circuit off and allow the wire to cool.
6. Turn the circuit on briefly.
7. Measure and record the current through the wire and the voltage across it.
8. Turn the circuit off.
9. Repeat the process for a range of voltages across the wire from 3.0 V to 1.0 V.
1. Construct the test circuit as shown.
2. Connect the resistor between the crocodile clips.
3. Set the variable resistor to its highest resistance setting.
4. Turn on the switch and adjust the variable resistor until there is a voltage of 3.0 V across the fixed-value resistor.
5. Turn the circuit off to make sure that the resistor is cool.
6. Turn the circuit on briefly.
7. Measure and record the current through the resistor and the voltage across it.
8. Turn the circuit off.
9. Repeat the process for a range of voltages across the resistor from 3.0 V to 1.0 V.
1. Construct the circuit used to measure the resistance of the wire but use a d.c. power supply and place the wire onto a heat-resistant mat.
2. Turn on the power at a low voltage and measure the current and voltage.</t>
  </si>
  <si>
    <t xml:space="preserve">Investigating Filament Lamps and Diodes </t>
  </si>
  <si>
    <t>Practical:
- Ammeter
- Voltmeter
- Cell
- Wire
- Switch
- Rheostat
- Bulbs
- Diode
Additional equipment (lesson resources):
12 V battery pack or low voltage d.c. power supply ammeter
7 connecting leads
2 crocodile clips
variable resistor (rheostat)
12 V lamp</t>
  </si>
  <si>
    <t>• The lamp will become hot, so do not touch it until it has time to cool down.
• Make sure students record the data they have collected in a table for analysis. Display the table template on the slideshow. Students should copy and complete the table in their exercise books. Note that their results table will need additional rows depending on the number of measurements made. Slideshow: Results table 1
• Remind students that Ohm’s law states: The current through a conductor is directly proportional to the voltage across it as long as the physical conditions (e.g. temperature) remain the same.</t>
  </si>
  <si>
    <t>Lesson 20 — Investigating Filament Lamps and Diodes
Specification Points:
2.9 describe how current varies with voltage in wires, resistors, metal filament lamps and diodes, and how to investigate this experimentally
2.13 know and use the relationship between voltage, current and resistance:
voltage = current × resistance
V = I × R
Pages 77–78
Requisitions:
Practical:
- Ammeter
- Voltmeter
- Cell
- Wire
- Switch
- Rheostat
- Bulbs
- Diode
Additional equipment (lesson resources):
12 V battery pack or low voltage d.c. power supply ammeter
7 connecting leads
2 crocodile clips
variable resistor (rheostat)
12 V lamp
Notes:
The lamp will become hot, so do not touch it until it has time to cool down.
Take care with electrical equipment. Do not connect circuits to mains. Switch off power before changing connections.</t>
  </si>
  <si>
    <t>• calculate the resistance of components using the relationship voltage = current × resistance
• plan an investigation of how current varies with applied voltage for a filament lamp and a diode
• plot current–voltage graphs for a filament lamp and a diode
• describe the relationship between current and voltage for a filament lamp and a diode.</t>
  </si>
  <si>
    <t>• conventional current: charge flow in a circuit from positive terminal to negative terminal
• diode: an electrical component that allows the flow of current in only one direction
• filament lamp: a lamp in which the light source is a fine electrical conductor heated by the passage of current</t>
  </si>
  <si>
    <t>1. Construct the test circuit as shown.
2. Connect the lamp between the test points.
3. Set the variable resistor to its highest resistance setting.
4. Turn on the switch and adjust the variable resistor until there is a voltage of 3.0 V across the lamp.
5. Measure and record the current through the lamp and the voltage across it.
6. Repeat the process for a range of voltages across the lamp from 3.0 V to 12 V.
7. Reverse the connections from the battery pack or power supply and repeat the process for voltages across the lamp from −3.0 V to −12 V.
1. Construct the test circuit as shown.
2. Connect the diode between the test points. Make sure that the end of the diode with the stripe connects to the negative terminal of the battery.
3. Set the variable resistor to its highest resistance setting.
4. Turn on the switch and adjust the variable resistor until there is a voltage of 1.5 V across the diode.
5. Measure and record the current through the diode and the voltage across it.
6. Switch the circuit off between readings.
7. Repeat the process for a range of voltages shown in the results table (+1.5 V to −1.0 V).
8. To provide negative voltages reverse the connections from the battery pack or power supply.</t>
  </si>
  <si>
    <t>Series Circuits</t>
  </si>
  <si>
    <t>2.7 explain why a series or parallel circuit is more appropriate for particular applications, including domestic lighting
2.8 understand how the current in a series circuit depends on the applied voltage and the number and nature of other components
2.9 describe how current varies with voltage in wires, resistors, metal filament lamps and diodes, and how to investigate this experimentally
2.13 know and use the relationship between voltage, current and resistance: voltage = current x resistance (V = I x R)
2.19 calculate the currents, voltages and resistances of two resistive components connected in a series circuit</t>
  </si>
  <si>
    <t>Pages 72–73</t>
  </si>
  <si>
    <t>Req:
Wires
Cells
Bulbs
Switches
Resistors to add together
Ammeters
Voltmeters
Additional equipment (lesson resources):
low voltage power supply
connecting leads
5 × 10 Ω resistors</t>
  </si>
  <si>
    <t>• Currents should always be kept below 0.5 A so that the resistors do not overheat.
• Students should work in pairs or small groups of three for this practical task.
• Students do not necessarily need to plot the graph for the experiment before reaching the conclusion as the relationship should be obvious.</t>
  </si>
  <si>
    <t>Lesson 74 — Series Circuits
Specification Points:
2.7 explain why a series or parallel circuit is more appropriate for particular applications, including domestic lighting
2.8 understand how the current in a series circuit depends on the applied voltage and the number and nature of other components
2.9 describe how current varies with voltage in wires, resistors, metal filament lamps and diodes, and how to investigate this experimentally
2.13 know and use the relationship between voltage, current and resistance: voltage = current x resistance (V = I x R)
2.19 calculate the currents, voltages and resistances of two resistive components connected in a series circuit
Pages 72–73
Requisitions:
Req:
Wires
Cells
Bulbs
Switches
Resistors to add together
Ammeters
Voltmeters
Additional equipment (lesson resources):
low voltage power supply
connecting leads
5 × 10 Ω resistors
Notes:
Take care with electrical equipment. Do not connect circuits to mains. Switch off power before changing connections.</t>
  </si>
  <si>
    <t>• calculate the currents of two resistive components connected in a series circuit
• calculate the voltages of two resistive components connected in a series circuit
• calculate the resistances of two resistive components connected in a series circuit
• explain why a series circuit is more appropriate for some applications.</t>
  </si>
  <si>
    <t>• resistance equation: resistance = voltage current R = V I
• series circuit: a series of components &amp;lsquo;one after the other&amp;rsquo; where there is only one current path</t>
  </si>
  <si>
    <t>1. Connect the circuit shown in the diagram.
2. Set the power supply to 3.0 V.
3. Turn the circuit on with the switch and measure the current in the circuit. Record this in your results table.
4. Turn the circuit off and add a second 10 Ω resistor in series with the first.
5. Turn the circuit on again and record the current.
6. Repeat with three, four and then five resistors in series.</t>
  </si>
  <si>
    <t>Parallel Circuits and Energy Transfer</t>
  </si>
  <si>
    <t>2.1 use the following units: ampere (A), coulomb (C), joule (J), second (s) and volt (V)
2.7 explain why a series or parallel circuit is more appropriate for particular applications, including domestic lighting
2.17 understand why current is conserved at a junction in a circuit
2.18 know that the voltage across two components connected in parallel is the same
2.20 know that: 
• voltage is the energy transferred per unit charge passed 
• the volt is a joule per coulomb
2.21 know and use the relationship between energy transferred, charge and voltage:
energy transferred = charge × voltage
E = Q × V</t>
  </si>
  <si>
    <t>Req:
Wires
Cells
Bulbs
Switches
Resistors to add together
Ammeters
Voltmeters
Additional equipment (lesson resources):
battery pack or low voltage power supply
3 lamps
a variable resistor</t>
  </si>
  <si>
    <t>• Low voltage power supplies should be used to limit currents.</t>
  </si>
  <si>
    <t>Lesson 75 — Parallel Circuits and Energy Transfer
Specification Points:
2.1 use the following units: ampere (A), coulomb (C), joule (J), second (s) and volt (V)
2.7 explain why a series or parallel circuit is more appropriate for particular applications, including domestic lighting
2.17 understand why current is conserved at a junction in a circuit
2.18 know that the voltage across two components connected in parallel is the same
2.20 know that: 
• voltage is the energy transferred per unit charge passed 
• the volt is a joule per coulomb
2.21 know and use the relationship between energy transferred, charge and voltage:
energy transferred = charge × voltage
E = Q × V
Pages 69–74
Requisitions:
Req:
Wires
Cells
Bulbs
Switches
Resistors to add together
Ammeters
Voltmeters
Additional equipment (lesson resources):
battery pack or low voltage power supply
3 lamps
a variable resistor
Notes:
Take care with electrical equipment. Do not connect circuits to mains. Switch off power before changing connections.</t>
  </si>
  <si>
    <t>• explain why a parallel circuit is more appropriate for some applications
• describe why current is conserved at a junction in a circuit
• state that the voltage across two components connected in parallel is the same
• define voltage as the energy transferred per unit charge passed and the volt as being a joule per coulomb
• recall and use the relationship energy transferred = charge &amp;times; voltage.</t>
  </si>
  <si>
    <t>• energy transferred = charge &amp;times; voltage,&amp;nbsp;E = Q &amp;times; V
• parallel circuit:&amp;nbsp;an electric circuit that has more than one path that the current can follow
• voltage (V): the amount of energy carried by each unit of charge from a cell/battery or power supply to the circuit components</t>
  </si>
  <si>
    <t>1. Set up the circuit as shown in the diagram.
2. Turn on the circuit and show that the current through the battery ( I 1 ) is equal to the sum of the currents in the branches I 2 + I 3 . Note that there may be some slight difference, explain this as being due to the slight inaccuracy in the meters.
3. Adjust the variable resistor and show that I 1 = I 2 + I 3 is always true.
4. A third branch to the circuit can be added if time is available. The sum of the current in the three branches should be equal to the current from the battery.
1. Construct each of the circuits shown in diagrams A–D one at a time .
2. Use the voltmeter to measure the voltages across each of the lamps and record it.</t>
  </si>
  <si>
    <t>Mains Electrical Safety</t>
  </si>
  <si>
    <t>2.2 understand how the use of insulation, double insulation, earthing, fuses and circuit breakers protects the device or user in a range of domestic appliances</t>
  </si>
  <si>
    <t>Pages 59–63</t>
  </si>
  <si>
    <t>Fuses, iron wool burning demo, reed switches, circuit breakers
Additional equipment (lesson resources):
1 A or 0.5 A fuse crocodile clips
low voltage power supply
variable resistor lamp (with rating over 1 A)
connecting leads</t>
  </si>
  <si>
    <t>• Do not use naked fuse wire as this can become hot enough to cause burns.</t>
  </si>
  <si>
    <t>Lesson 76 — Mains Electrical Safety
Specification Points:
2.2 understand how the use of insulation, double insulation, earthing, fuses and circuit breakers protects the device or user in a range of domestic appliances
Pages 59–63
Requisitions:
Fuses, iron wool burning demo, reed switches, circuit breakers
Additional equipment (lesson resources):
1 A or 0.5 A fuse crocodile clips
low voltage power supply
variable resistor lamp (with rating over 1 A)
connecting leads
Notes:
- Adjust the power pack to a minimum of 12V 10A current to ensure the iron wool ignites.
- Loosely packed wool allows better oxygen flow (around double the width) to promote rapid oxidation and sparking.
Do not use naked fuse wire as this can become hot enough to cause burns.
Take care with electrical equipment. Do not connect circuits to mains. Switch off power before changing connections.
Do not look directly at burning magnesium — the bright light can damage eyes. Wear eye protection.</t>
  </si>
  <si>
    <t>• describe how the use of insulation protects the user in a range of domestic appliances
• describe how the use of fuses protects the device in a range of domestic appliances
• describe how the use of fuses, earthing and double insulation protects the user in a range of domestic appliances
• describe how the use of circuit breakers protects the device and user in a range of domestic appliances.</t>
  </si>
  <si>
    <t>• circuit breaker: an automatic switch which cuts off a circuit if the current is too high
• double-insulated: when a device is constructed from plastic to help prevent electrocution
• earthing: connecting a circuit to an earth wire to give an easy path for current
• fuse: a thin piece of wire designed to melt when currents are too high and cut off a circuit</t>
  </si>
  <si>
    <t>1. Connect the variable resistor, power supply, fuse and lamp in series.
2. Set the variable resistor to a high setting and turn on the circuit.
3. Gradually increase the current by reducing the resistance slowly.
4. Students should observe the lamp and the wire in the fuse.
5. Continue to increase the current until the fuse wire melts.</t>
  </si>
  <si>
    <t>Mains Electricity Calculations</t>
  </si>
  <si>
    <t>2.1 use the following units: ampere (A), coulomb (C), joule (J), ohm (Ω), second (s), volt (V) and watt (W)
2.3 understand why a current in a resistor results in the electrical transfer of energy and an increase in temperature, and how this can be used in a variety of domestic contexts
2.4 know and use the relationship between power, current and voltage: power = current × voltage P = I × V and apply the relationship to the selection of appropriate fuses
2.5 use the relationship between energy transferred, current, voltage and time: energy transferred = current × voltage × time E = I × V × t
6.1 use the following units: ampere (A), volt (V) and watt (W)</t>
  </si>
  <si>
    <t>Pages 63–65</t>
  </si>
  <si>
    <t>Lesson 77 — Mains Electricity Calculations
Specification Points:
2.1 use the following units: ampere (A), coulomb (C), joule (J), ohm (Ω), second (s), volt (V) and watt (W)
2.3 understand why a current in a resistor results in the electrical transfer of energy and an increase in temperature, and how this can be used in a variety of domestic contexts
2.4 know and use the relationship between power, current and voltage: power = current × voltage P = I × V and apply the relationship to the selection of appropriate fuses
2.5 use the relationship between energy transferred, current, voltage and time: energy transferred = current × voltage × time E = I × V × t
6.1 use the following units: ampere (A), volt (V) and watt (W)
Pages 63–65
Notes:
no practical</t>
  </si>
  <si>
    <t>• explain why a current in a resistor results in the electrical transfer of energy and an increase in temperature, and how this can be used in a variety of domestic contexts
• recall and use the relationship: power = current &amp;times; voltage
• use the relationship: energy transferred = current &amp;times; voltage &amp;times; time.</t>
  </si>
  <si>
    <t>• electrical energy equation: energy transferred by an electric current = current &amp;times; voltage &amp;times; time&amp;nbsp;(E = I &amp;times; V &amp;times; t)
• electrical power equation: power = current &amp;times; voltage&amp;nbsp;(P = I &amp;times; V)
• power equation: energy transferred = power &amp;times; time&amp;nbsp;(E = P &amp;times; t)</t>
  </si>
  <si>
    <t>Spot the forcesWhat forces are acting on the aeroplane?What forces are acting on the boy?What forces are acting on the car?What forces are acting on the diver?What forces are acting on the skier?There is no specific forwards force, but because the ground is sloping, part of her weight is acting to pull her down the hill.</t>
  </si>
  <si>
    <t>Properties of Waves</t>
  </si>
  <si>
    <t>3.2 explain the difference between longitudinal and transverse waves
3.3 know the definitions of amplitude, wavefront, frequency, wavelength and period of a wave
3.4 know that waves transfer energy and information without transferring matter
3.1 use the following units: hertz (Hz) and metre (m)</t>
  </si>
  <si>
    <t>Pages 97–99</t>
  </si>
  <si>
    <t>Slinkies
Additional equipment (lesson resources):
rectangular tray (a few centimetres deep)
graph paper
water
a 30 cm rule or similar
lamp
a small piece of cork or plastic that floats</t>
  </si>
  <si>
    <t>• Clean up any water spills immediately.
• Students should observe the motion of the wave crests.</t>
  </si>
  <si>
    <t>Lesson 27 — Properties of Waves
Specification Points:
3.2 explain the difference between longitudinal and transverse waves
3.3 know the definitions of amplitude, wavefront, frequency, wavelength and period of a wave
3.4 know that waves transfer energy and information without transferring matter
3.1 use the following units: hertz (Hz) and metre (m)
Pages 97–99
Requisitions:
Slinkies
Additional equipment (lesson resources):
rectangular tray (a few centimetres deep)
graph paper
water
a 30 cm rule or similar
lamp
a small piece of cork or plastic that floats
Notes:
Clean up any water spills immediately.</t>
  </si>
  <si>
    <t>• describe the difference between longitudinal, transverse, mechanical and electromagnetic waves and give examples of each
• define amplitude and period of a wave
• define wavefront and wavelength of a wave
• know that waves transfer energy and information without transferring matter.</t>
  </si>
  <si>
    <t>• amplitude: maximum displacement or half the full height of a wave
• direction of propagation: the direction in which a wave carries energy
• electromagnetic wave: formed by oscillating electric and magnetic fields
• longitudinal wave: oscillations are parallel to the direction of energy transfer
• mechanical wave: formed by oscillating particles
• oscillations/oscillating: periodic motion that repeats itself in a regular cycle
• period: time taken for one oscillation
• transverse wave: oscillations are perpendicular to the direction of energy transfer
• wavefront: a line where all the oscillations are in phase and the same distance from the source
• wavelength: distance between adjacent points with identical displacements</t>
  </si>
  <si>
    <t>1. Fill the tray with water to about 1 cm depth.
2. Shine the lamp onto the surface of the water; this will allow the wavefronts to be seen more easily.
3. Use the ruler to produce waves by bobbing it up and down in the water in a regular rhythm.
4. Students should observe the motion of the wave crests.
5. Place the cork into the tray and repeat. The cork should bob up and down without moving across the tray as the waves pass.
1. Place the spring on the desk or floor and stretch it out.
2. Tie the ribbon or attach the tape to a coil somewhere near the middle of the spring. This is so that you can observe the motion of that part of the spring clearly.
3. Move the end of the spring from side to side, at right angles to the direction the spring is stretched.
4. Observe the motion of the coil in the spring as the wave passes through it.
5. Record your observations and then draw a labelled diagram showing the motion of the coil and the direction the wave travels (propagates) through the spring.
6. Observe the behaviour of the marked coil carefully as the wave passes. Describe what it does and whether it returns to its original position when the wave stops passing through the spring.
7. Repeat the process for transverse waves but instead of moving the end of the spring from side to side push it inwards and outwards so that the oscillations are in the same direction the spring is stretched.
8. Record your observations.
1. Connect the signal generator and oscilloscope according to it its instructions.
2. Connect a loudspeaker.
3. Turn on the signal generator and produce a wave of frequency 10⁰ Hz.
4. Adjust the control of the oscilloscope until a clear sine wave is seen.
5. Discuss the amplitude and period of the waveform. Show how the amplitude and period can be measured for the wave on screen.
6. Discuss the sound being produced. Link the height of the amplitude to the loudness of the sound to show students how the two are related.
7. Demonstrate increasing the amplitud</t>
  </si>
  <si>
    <t>Wave Speeds</t>
  </si>
  <si>
    <t>3.1 use the following units: hertz (Hz) and metre (m)
3.3 know the definitions of amplitude, wavefront, frequency, wavelength and period of a wave
3.5 know and use the relationship between the speed, frequency and wavelength of a wave: wave speed = frequency × wavelength v = f × λ
3.6 use the relationship between frequency and time period:
frequency =  1/(time period)
f =  1/T
3.7 use the above relationships in different contexts, including sound waves and electromagnetic waves</t>
  </si>
  <si>
    <t>Pages 99–101</t>
  </si>
  <si>
    <t>ripple tank
stopwatch
ruler
digital camera</t>
  </si>
  <si>
    <t>• Mop up any spilled water straight away</t>
  </si>
  <si>
    <t>Lesson 28 — Wave Speeds
Specification Points:
3.1 use the following units: hertz (Hz) and metre (m)
3.3 know the definitions of amplitude, wavefront, frequency, wavelength and period of a wave
3.5 know and use the relationship between the speed, frequency and wavelength of a wave: wave speed = frequency × wavelength v = f × λ
3.6 use the relationship between frequency and time period:
frequency =  1/(time period)
f =  1/T
3.7 use the above relationships in different contexts, including sound waves and electromagnetic waves
Pages 99–101
Requisitions:
ripple tank
stopwatch
ruler
digital camera
Notes:
Mop up any spilled water straight away</t>
  </si>
  <si>
    <t>• define frequency of a wave
• use the equation: wave speed = frequency &amp;times; wavelength.</t>
  </si>
  <si>
    <t>• frequency: the number of waves per second
• wave speed: distance travelled by a wave per unit time
• wave speed equation: wave speed = frequency &amp;times; wavelength</t>
  </si>
  <si>
    <t>1. Set up a ripple tank with a straight dipper near one of the short sides of the tank. Fasten a ruler to one of the long sides so you can see the markings above the water level.
2. Vary the current to the motor until you get waves with a wavelength about half as long as the ripple tank (so you can always see two waves).
3. Count how many waves are formed in 10 s and write it down.
4. Look at the waves against the ruler. Use the markings on the ruler to estimate the wavelength of the waves.
5. Mark two points on the edge of the ripple tank and measure the distance between them. Use the stopwatch to find out how long it takes a wave to go from one mark to the other.</t>
  </si>
  <si>
    <t xml:space="preserve">Investigating Reflection </t>
  </si>
  <si>
    <t>3.9 explain that all waves can be reflected and refracted
3.14 know that light waves are transverse waves and that they can be reflected and refracted
3.15 use the law of reflection (the angle of incidence equals the angle of reflection)</t>
  </si>
  <si>
    <t>Pages 102–103</t>
  </si>
  <si>
    <t>Light boxes, power packs, A3 paper, protractors. Print Mirror Maze
Additional equipment (lesson resources):
large sheet of paper
graph paper
ray box
slinge slit (to produce a single beam of light)
plane (flat) mirror pencil
ruler
(optional) printed paper protractor
(optional; for Challenge activity) large convex mirror</t>
  </si>
  <si>
    <t>• The ray box can get hot, so students should take care when handling it not to burn their fingers.
• The light bulb is likely to be fragile so easily broken, and broken glass is a hazard.
• Glass mirrors can have sharp edges, especially when chipped.
• It is important that students attempt to collect accurate data for the experiment: they need to take great care with the protractor and try to measure to the nearest degree. This can be quite challenging (see Support ).
• Make sure students record the data they have collected in a simple table for analysis. Display the Slideshow: Results table . Students should copy and complete the table in their exercise books. Slideshow: Results table
• Students may point out that the angles do not exactly match. Ask: Why do you think there is some variation? (Possible answers: small errors in reading angles, inaccurate positioning of the protractor, or placing the mirror exactly on the paper between readings.)</t>
  </si>
  <si>
    <t>Lesson 29 — Investigating Reflection
Specification Points:
3.9 explain that all waves can be reflected and refracted
3.14 know that light waves are transverse waves and that they can be reflected and refracted
3.15 use the law of reflection (the angle of incidence equals the angle of reflection)
Pages 102–103
Requisitions:
Light boxes, power packs, A3 paper, protractors. Print Mirror Maze
Additional equipment (lesson resources):
large sheet of paper
graph paper
ray box
slinge slit (to produce a single beam of light)
plane (flat) mirror pencil
ruler
(optional) printed paper protractor
(optional; for Challenge activity) large convex mirror
Notes:
The light bulb is likely to be fragile so easily broken, and broken glass is a hazard.
Glass mirrors can have sharp edges, especially when chipped.
Take care with electrical equipment. Do not connect circuits to mains. Switch off power before changing connections.
Do not look directly into the light source or ray box. Take care with hot ray box bulbs.</t>
  </si>
  <si>
    <t>• describe the reflection of waves and give examples of reflection of longitudinal sound waves and transverse light waves
• plan an investigation into the law of reflection using a ray box and a mirror
• state the law of reflection.</t>
  </si>
  <si>
    <t>• angle of incidence:&amp;nbsp;the angle between the normal and the incident ray
• angle of reflection:&amp;nbsp;the angle between the normal and the reflected ray
• the&amp;nbsp;law of reflection:&amp;nbsp;the angle of incidence is equal to the angle of reflection
• the&amp;nbsp;normal:&amp;nbsp;a line drawn perpendicular (at a 90&amp;deg; angle) to the reflecting surface at the point the ray meets the reflecting surface</t>
  </si>
  <si>
    <t>1. Place the ray box and a small mirror on a flat sheet of paper.
2. Draw a line on the paper across the back of the mirror and then remove it.
3. Draw short diagonal lines to the line drawn across the front of the mirror to indicate the location of the mirror.
4. Draw a normal line at the centre point of the mirror on the paper. The normal is a line drawn perpendicular (at 90°) to the mirror. It must intersect the mirror at the same point as the light ray meets the mirror.
5. To draw the normal, position the diameter of the protractor along the line marking the front of the mirror with the cross positioned where the light ray meets the mirror. Make a mark on the paper at 90°. Remove the protractor and use a ruler to join the mark and the point where the ray meets the mirror with a straight line.
6. Place the mirror back on the line and use the ray box to shine a beam of light into it so that the beam reaches the mirror at the point where the normal is.
7. The ray of light should go from the ray box to the mirror and then be reflected. You should see the path of the light ray on the piece of paper clearly.
8. Mark the path of the incident light ray on the paper by drawing three dots on the paper within the light beam between the ray box and the mirror.
9. Mark the path of the reflected light ray by drawing three more dots on the paper within the light beam that is reflected from the mirror.
10. Remove all the equipment from the piece of paper.
11. Use a ruler to join the dots on the paper, forming a light ray going from the ray box to the mirror (the incidence ray). Then draw the light ray which has been reflected from the mirror (the reflected ray).
12. Add an arrow on each light ray to indicate its direction as shown in the figure above.
13. Use the protractor to measure the angle of incidence , and the angle of reflection . Record these angles in a results table.
14. Using the correct scale (either the inner or the outer scale) read off the angle of incidence.
15</t>
  </si>
  <si>
    <t>Images in Mirrors</t>
  </si>
  <si>
    <t xml:space="preserve">3.15 use the law of reflection (the angle of incidence equals the angle of reflection)
3.16 draw ray diagrams to illustrate reflection and refraction </t>
  </si>
  <si>
    <t>Slinkies
Additional equipment (lesson resources):
ripple tank and a vibrating water
wave source
lamp to allow easier visualisation
of the wavefronts
a straight flat barrier which can be
placed into a ripple tank to reflect
water
waves</t>
  </si>
  <si>
    <t>• Any water spills should be cleaned up immediately.
• Keep electrical equipment away from water.
• You should remind students of the relationship between wavefronts and the direction of travel: Ask: Which way are the wavefronts moving? (Answer: In the direction of propagation.)
• Place the flat barrier into the tank so that it makes an angle of approximately 45° with the wavefronts. Describe what happens to the wavefronts when they reach the barrier. The students should see that the wavefronts are reflected from the flat barrier at the same angle that they hit the barrier at. Ask students: Are the waves following the law of reflection? Briefly share students’ thoughts then move to the next step.
• Be careful if a glass pane is used, they are fragile and can be sharp.
• Make sure that you do not put your finger in the flame of the lit tealight.</t>
  </si>
  <si>
    <t>Lesson 30 — Images in Mirrors
Specification Points:
3.15 use the law of reflection (the angle of incidence equals the angle of reflection)
3.16 draw ray diagrams to illustrate reflection and refraction
Pages 102–103
Requisitions:
Slinkies
Additional equipment (lesson resources):
ripple tank and a vibrating water
wave source
lamp to allow easier visualisation
of the wavefronts
a straight flat barrier which can be
placed into a ripple tank to reflect
water
waves
Notes:
Do lessons 81 to 84 here as well - last 4 lessons of waves, rather than putting them next year
Any water spills should be cleaned up immediately.</t>
  </si>
  <si>
    <t>• state and apply the law of reflection to draw ray diagrams for simple reflections
• locate and then describe the properties of the image formed in a plane mirror.</t>
  </si>
  <si>
    <t>• laterally inverted:&amp;nbsp;when the left and right sides are reversed
• virtual image:&amp;nbsp;an image formed where imaginary rays appear to come from
• real image: an image formed by real rays passing through a point</t>
  </si>
  <si>
    <t>1. Assemble the ripple tank according to its instructions.
2. Produce a series of regular waves across the water surface. A lamp shining on the surface or from below may be needed to allow students to see the wavefronts easily.
3. Place the flat barrier into the tank so that it makes an angle of approximately 45° with the wavefronts. Describe what happens to the wavefronts when they reach the barrier.
4. Rotate the barrier and show that the wave is still following the law of reflection.
1. Place the reflective surface onto a sheet of paper.
2. Draw a line indicating its position. Unlike a mirror, this will be the front surface.
3. Place one of the (unlit) tealights in front of the reflective surface, about 10 cm away. This should produce a clear reflection in the surface.
4. Looking through the glass, place the second tealight exactly on top of the image.
5. One or two students should look through the reflective surface, moving their heads around and see that the image and the second tealight are always in the same position, feeding this information back to the rest of the class.
6. Move the first tealight further from the reflective surface so that the location of the image moves and then place the second tealight on top of the new image position. This will show that the image is always the same size as the object.
7. Light the front tealight. The image will also look lit. Place your finger above the second tealight, it will appear to be inside the ‘flame’ of the unlit tealight.
8. Blow out the tealight.
9. To demonstrate that the image is located the same distance behind the reflective surface as the object is in from of it draw circles around the outside of the two tealights onto the paper.
10. Remove the reflective surface. Draw a dot in the centre of each circle.Measure the distances between the line you drew at the start and the two dots. These will be equal no matter where the tealights were positioned.</t>
  </si>
  <si>
    <t>Introducing Refraction</t>
  </si>
  <si>
    <t>3.9 explain that all waves can be reflected and refracted
3.14 know that light waves are transverse waves and that they can be reflected and refracted
3.16 draw ray diagrams to illustrate reflection and refraction</t>
  </si>
  <si>
    <t>Pages 115–116</t>
  </si>
  <si>
    <t>Demo 1:
- Ray box kit
- Rectangular block inside the kit or rectangular glass
- Triangular block inside the kit or prism
- Large sheet of white paper
- Protractor inside the kit
Demo 2:
- Beaker
- Coin
Additional equipment (lesson resources):
ray box with single slit
glass block
pencil</t>
  </si>
  <si>
    <t>Lesson 78 — Introducing Refraction
Specification Points:
3.9 explain that all waves can be reflected and refracted
3.14 know that light waves are transverse waves and that they can be reflected and refracted
3.16 draw ray diagrams to illustrate reflection and refraction
Pages 115–116
Requisitions:
Demo 1:
- Ray box kit
- Rectangular block inside the kit or rectangular glass
- Triangular block inside the kit or prism
- Large sheet of white paper
- Protractor inside the kit
Demo 2:
- Beaker
- Coin
Additional equipment (lesson resources):
ray box with single slit
glass block
pencil
Notes:
For Demo 2, place the coin in the bottom of the cup and ask a volunteer to look from the side of the cup at an angle, so that they cannot see the coin in the bottom over the rim. Pour in some water slowly and ask the student to describe what happens to their view of the coin.
the glass block back into position?
Do not look directly into the light source or ray box. Take care with hot ray box bulbs.</t>
  </si>
  <si>
    <t>• describe the refraction of waves as they move from one medium to another
• draw ray diagrams that show the ray paths for the refraction of light.</t>
  </si>
  <si>
    <t>• dispersion: the splitting of white light into the colours of the visible spectrum
• medium (plural:&amp;nbsp;media): the &amp;lsquo;material&amp;rsquo; through which a wave travels
• normal (the): a line perpendicular (at right angles to) to a point on a surface or boundary. Used in the construction of ray diagrams.
• reflection: when a wave reaches a boundary and changes direction instead of entering a new medium
• refraction: change in speed, direction or wavelength of a wave when it crosses the boundary between two different media</t>
  </si>
  <si>
    <t>1. Place the glass block in the centre of the paper and draw around the outside using the pencil.
2. Remove the block and draw a line to represent the normal in the centre of one of the long sides, as shown in the figure.
3. Without replacing the glass block, use the ray box to shine a single narrow beam of light along the paper so that it hits the outline of the block at the point where you have drawn the normal. This should be visible to students.
4. Let the students suggest some ray paths and then replace the glass block onto the paper, using the outline to show them the refraction effect.
5. Point out that the light path changes at the boundary when it enters the block and when it leaves. Identify the angle of incidence ( i ) and the angle of refraction ( r ) to students where the light enters the block. Make sure you point out that these angles are measured to the normal, not to the surface.
6. Point out where the light leaves the glass block.
7. Alter the angle of incidence to show that the angle of refraction also changes, but the earlier descriptions about sizes and changes in direction remain true.
8. Change the angle of the beam of light so that it enters the block along the normal. Show students that the light does not change direction in this case.
1. Place the prism in the centre of the paper.
2. Use the ray box to shine a beam of light through the prism so that it refracts as it enters and leaves.
3. Discuss the path of the ray with students.
4. Rotate the prism to show that the white light can be split into separate colours.
5. Place the glass block on top of the sheet of paper with writing on. Ask a student to describe what happens.
6. Explain the effect: The path of the light changes at the air/glass boundary and that shifts where the writing appears to be.</t>
  </si>
  <si>
    <t>Refraction of Light</t>
  </si>
  <si>
    <t>3.17 practical: investigate the refraction of light, using rectangular blocks, semi-circular blocks and triangular prisms</t>
  </si>
  <si>
    <t>Pages 115–117
Lab Book: Pages 17–20</t>
  </si>
  <si>
    <t>Practical:
- Ray box kits
- Semi-circular block inside the kit
- Rectangular block inside the kit or rectangular glass
- Triangular block inside the kit or prism
- Large sheet of white paper
- Protractor inside the kit
Additional equipment (lesson resources):
ray box with a single slit
power supply
semi-circular glass block
triangular glass prism
pencil
ruler
protractor plain paper</t>
  </si>
  <si>
    <t>• Ray boxes might get hot. Take care when touching the ray box. Switch the light source off between making measurements.</t>
  </si>
  <si>
    <t>Lesson 81 — Refraction of Light
Specification Points:
3.17 practical: investigate the refraction of light, using rectangular blocks, semi-circular blocks and triangular prisms
Pages 115–117
Lab Book: Pages 17–20
Requisitions:
Practical:
- Ray box kits
- Semi-circular block inside the kit
- Rectangular block inside the kit or rectangular glass
- Triangular block inside the kit or prism
- Large sheet of white paper
- Protractor inside the kit
Additional equipment (lesson resources):
ray box with a single slit
power supply
semi-circular glass block
triangular glass prism
pencil
ruler
protractor plain paper
Notes:
Do not look directly into the light source or ray box. Take care with hot ray box bulbs.</t>
  </si>
  <si>
    <t>• investigate the behaviour of light at boundaries in a semi-circular glass block
• describe the total internal reflection of light at a glass&amp;ndash;air boundary
• describe the dispersion of light in a glass prism.</t>
  </si>
  <si>
    <t>• critical angle (c):&amp;nbsp;the angle of incidence which causes the angle of refraction to be 90 degrees
• dispersion: the splitting of white light into the colours of the visible spectrum
• refraction: change in speed, direction or wavelength of a wave when it crosses the boundary between two different media
• total internal reflection (TIR):&amp;nbsp;when a light wave is reflected at the boundary between two different media; the reflection occurs when light is moving from a material which has a higher refractive index to one which has a lower refractive index</t>
  </si>
  <si>
    <t>1. Place a piece of plain paper on the bench. Set up the power supply, ray box and single slit so that you can shine a single ray of light across the paper.
2. Place a semi-circular glass block onto the paper and draw around the block using a pencil.
3. Remove the glass block and find the centre of the long straight edge of the block. Mark it with a line that is visible inside the glass block when you put the glass block back on the paper.
4. Put the glass block back on the paper in the outline you have drawn. Shine the ray of light from the ray box on to the curved side of the glass block. Aim for the centre of the glass block so that the light ray emerges from the curved side of the block (as shown in the diagram).
5. Using your pencil, mark the incident and reflected rays using crosses.
6. Remove the glass block and, using your crosses as a guide, draw in the path of the ray of incident light and the path of the ray of reflected light using a ruler, ensuring that you include the direction of the ray.
7. Now connect the incident ray and the reflected ray with the path of the ray inside the glass block.
8. Draw in a normal at the centre point of the glass block.
9. Measure the angle of incidence, i (where the ray enters the glass block) and the angle of reflection, r (where the ray is reflected inside the glass block) and record these in a table.
10. Repeat steps 4–9 but this time for two smaller angles of incidence.</t>
  </si>
  <si>
    <t>Refractive Index</t>
  </si>
  <si>
    <t>3.18 know and use the relationship between refractive index, angle of incidence and angle of refraction: n = sin i/sin r</t>
  </si>
  <si>
    <t>Practical:
- Ray box kits
- Semi-circular block inside the kit
- Large sheet of white paper
- Protractor inside the kit
Additional equipment (lesson resources):
single slit to produce a narrow beam of light
semi-circular glass block</t>
  </si>
  <si>
    <t>• Make sure students record the data they have collected in a simple table for analysis. Display Slide 1 of the slideshow. Students should copy and complete the results table in their exercise books. Slideshow: Results and calculations</t>
  </si>
  <si>
    <t>Lesson 82 — Refractive Index
Specification Points:
3.18 know and use the relationship between refractive index, angle of incidence and angle of refraction: n = sin i/sin r
Pages 115–116
Requisitions:
Practical:
- Ray box kits
- Semi-circular block inside the kit
- Large sheet of white paper
- Protractor inside the kit
Additional equipment (lesson resources):
single slit to produce a narrow beam of light
semi-circular glass block
Notes:
refractive index of the glass with students.
Do not look directly into the light source or ray box. Take care with hot ray box bulbs.</t>
  </si>
  <si>
    <t>• calculate the refractive index, n, of a glass block
• know and use the relationship between refractive index, angle of incidence and angle of refraction: n = sin i sin r &amp;#xB7 --&gt;</t>
  </si>
  <si>
    <t>• refractive index: a measure of how much a material slows down light, calculated as n = sin i / sin r
• angle of incidence: the angle between the incoming ray and the normal
• angle of refraction: the angle between the refracted ray and the normal
• refraction: the change in direction of a wave as it passes from one medium to another</t>
  </si>
  <si>
    <t>1. Place the semi-circular glass block in the centre of the sheet of paper.
2. Produce a single ray, directing this through the curved side of the block so that it does not refract at this surface.
3. Ask students: Why doesn’t the path of the ray of light change as it enters the block? (Answer: It is entering along the normal.)
4. Show that the ray refracts as it leaves the block along the flat surface.
5. Tell students: The light is speeding up as it leaves the glass, so it refracts and changes direction.
6. Identify the angles of incidence and refraction for students.
7. Ask students: What will happen to the angle of refraction when I increase the angle of incidence? (Answer: it will increase.)
8. Demonstrate this relationship by altering the angle of incidence and showing that the angle of refraction also changes
1. Place the semi-circular glass block on the sheet of paper, in the centre.
2. Draw around the block with a pencil.
3. Remove the block and measure the length of the flat side on the paper. Mark the position of the centre of this side on the paper.
4. Replace the block in exactly the same position as before, using the outline to guide you.
5. Use the ray box to shine a ray of light into the block, through the curved surface, directed exactly at the centre of the block marked in step 3. The rays will enter the block at right angles so will not change direction on entry to the block. They will refract as they leave the block through the flat surface.
6. Mark the path of the ray with crosses or dots on the paper.
7. Remove the block and use the ruler to complete the ray paths.
8. Use the protractor to measure the angles of incidence and refraction as the ray leaves the block. Record these angles in the results table.
9. Repeat steps 5 to 8 for two more rays.</t>
  </si>
  <si>
    <t>Investigating Refractive Index</t>
  </si>
  <si>
    <t>3.18 know and use the relationship between refractive index, angle of incidence and angle of refraction: n=sin i/sin r 
3.19 practical: investigate the refractive index of glass, using a glass block</t>
  </si>
  <si>
    <t>Page 116
Lab Book: Pages 21–24</t>
  </si>
  <si>
    <t>Practical:
- Ray box kits
- Rectangular block inside the kit
- Large sheet of white paper
- Protractor inside the kit
Additional equipment (lesson resources):
ray box with single slit
power supply
rectangular glass block
ruler
protractor pencil
plain paper</t>
  </si>
  <si>
    <t>• Ray boxes may get hot. Take care when touching the ray box. Switch the light source off between making measurements.
• The practical task needs to be carried out with great care in order to measure the angles of incidence and refraction accurately. Although the angle at which the ray leaves the glass should be identical to the angle of the original incident ray, there will typically be a slight difference when measured.</t>
  </si>
  <si>
    <t>Lesson 83 — Investigating Refractive Index
Specification Points:
3.18 know and use the relationship between refractive index, angle of incidence and angle of refraction: n=sin i/sin r 
3.19 practical: investigate the refractive index of glass, using a glass block
Page 116
Lab Book: Pages 21–24
Requisitions:
Practical: 
- Ray box kits
- Rectangular block inside the kit
- Large sheet of white paper
- Protractor inside the kit
Additional equipment (lesson resources):
ray box with single slit
power supply
rectangular glass block
ruler
protractor pencil
plain paper
Notes:
glass should be identical to the angle of the original incident ray, there will typically be a slight difference when measured.
Do not look directly into the light source or ray box. Take care with hot ray box bulbs.</t>
  </si>
  <si>
    <t>• measure the refractive index of glass experimentally
• apply the relationship \({n=}\frac{\sin&amp;thinsp;i}{\sin&amp;thinsp;r}\) to find refractive index.</t>
  </si>
  <si>
    <t>• refractive index: a measure of how much light is bent when passing through a material
• glass block: a rectangular piece of glass used to investigate refraction
• normal: an imaginary line drawn perpendicular to a surface at the point where a ray hits it</t>
  </si>
  <si>
    <t>1. Place a piece of plain paper on the bench. Set up the power supply, ray box and single slit so that you can shine a single ray of light across the paper.
2. Place a rectangular glass block on the paper. Use the pencil to draw around the block.
3. Shine a ray of light into your block. Use small crosses to mark where the ray of light goes.
4. Take the glass block off the paper. Use the ruler to join the crosses and show the path of the light. Extend the line so that it meets the outline of the block. Join the points where the light entered and left the block to show where it travelled inside the block.
5. Draw the normal and measure the angle of incidence, i , and the angle of refraction, r , where the light enters the block. Measure the angle of incidence and the angle of refraction where the light leaves the block.
6. Repeat steps 3–5 with the ray entering the block at different angles.
7. Move the ray box so that the light ray reaches the interface at right angles. Note what happens to the light as it enters and leaves the block.</t>
  </si>
  <si>
    <t>Total Internal Reflection</t>
  </si>
  <si>
    <t>3.20 describe the role of total internal reflection in transmitting information along optical fibres and in prisms
3.21 explain the meaning of critical angle c
3.22 know and use the relationship between critical angle and refractive index: sin c = 1/n</t>
  </si>
  <si>
    <t>Pages 117–121</t>
  </si>
  <si>
    <t>Demo 1 and Practical:
- Ray box kits
- Single slit
- Semi-circular block inside the kit
- Rectangular block inside the kit or glass block
- Large sheet of white paper
Demo 2:
- Ray box kit
- Single slit
- Prism 90x45x45 degrees x2
- Large sheet of white paper
Demo 3:
- Optical fibre
- Torch
Critial angle: Acrylic (41.8°-42.2°), Glass (~42°)
Additional equipment (lesson resources):
single slit to produce a narrow beam of light
semi-circular glass block</t>
  </si>
  <si>
    <t>• Glass can have sharp edges; blocks should be checked in advance.
• There are no safety concerns to consider for this practical.</t>
  </si>
  <si>
    <t>Lesson 84 — Total Internal Reflection
Specification Points:
3.20 describe the role of total internal reflection in transmitting information along optical fibres and in prisms
3.21 explain the meaning of critical angle c
3.22 know and use the relationship between critical angle and refractive index: sin c = 1/n
Pages 117–121
Requisitions:
Demo 1 and Practical:
- Ray box kits
- Single slit
- Semi-circular block inside the kit
- Rectangular block inside the kit or glass block
- Large sheet of white paper
Demo 2:
- Ray box kit
- Single slit
- Prism 90x45x45 degrees x2
- Large sheet of white paper
Demo 3:
- Optical fibre
- Torch
Critial angle: Acrylic (41.8°-42.2°), Glass (~42°)
Additional equipment (lesson resources):
single slit to produce a narrow beam of light
semi-circular glass block
Notes:
- We have acrylic light guide demonstrator with laser pointer (or ray box) before. Do we include this demo to the new scheme as well? (Carol)
Do not look directly into the light source or ray box. Take care with hot ray box bulbs.</t>
  </si>
  <si>
    <t>• explain what is meant by total internal reflection, including the importance of the critical angle, c
• know and use the relationship between the critical angle and the refractive index: sin &amp;#xA0; c = 1 n
• describe the role of total internal reflection in transmitting information along optical fibres and in prisms.</t>
  </si>
  <si>
    <t>• critical angle (c): the angle of incidence which causes the angle of refraction to be 90 degrees
• critical angle equation: sin &amp;#xA0; c = 1 n
• optical density: the degree to which light waves are slowed down in a medium; in a material with a high optical density, light waves travel more slowly than in a material with a lower optical density
• total internal reflection (TIR): when a light wave is reflected at the boundary between two different media; the reflection occurs when light is moving from a material which has a higher refractive index to one which has a lower refractive index</t>
  </si>
  <si>
    <t>1. Place the semi-circular glass block in the centre of the sheet of paper.
2. Produce a single ray, and direct it through the curved side of the block so that it does not refract at this surface.
3. Position the ray so that it is refracted as it leaves the block.
4. Identify the angles of incidence and refraction for students.
5. Gradually increase the angle of incidence.
6. Continue increasing the angle until the ray is barely emerging from the block.
7. Demonstrate what happens when you increase the angle – the ray should now reflect internally.
8. Try to cause total internal reflection when the light enters the glass block by rotating the block. There will be some reflection but most of the light will enter the glass no matter what the angle.
1. Place a transparent block in the centre of a sheet of paper and draw around it to mark its position.
2. Use the ray box to shine a narrow beam of light into the block. Adjust the direction of the beam until the light is just escaping the back of the block.
3. Mark the path of the incident ray and the point where the ray would leave the block at the back surface with dots.
4. Remove the block and draw the normal and the incident ray path (inside the glass) as shown in the diagram.
5. Measure the critical angle and record it in the results table.
6. Use the critical angle to find the refractive index of the material.
7. Repeat for a second material and then a third (if available).
1. Shine a narrow beam of light into the prisms as shown in the first diagram to show how the ray can be reflected through 90°.
2. Demonstrate how the ray can be reflected through 180° as shown in the second diagram.
3. Ask students: How could I change the path of the ray so that it is deflected back into the original direction?
4. Demonstrate how the ray can be reflected through 90° and then back through 90° to the original direction (as happens in periscopes) as shown in the third diagram.
1. Show students the length of optical fibre. Tell t</t>
  </si>
  <si>
    <t>The Electromagnetic Spectrum – Long Wavelengths</t>
  </si>
  <si>
    <t>3.10 know that light is part of a continuous electromagnetic spectrum that includes radio, microwave, infrared, visible, ultraviolet, x-ray and gamma ray radiations, and that all these waves travel at the same speed in free space
3.11 know the order of the electromagnetic spectrum in terms of decreasing wavelength and increasing frequency, including the colours of the visible spectrum
3.12 explain some of the uses of electromagnetic radiations, including:
o        radio waves: broadcasting and communications
o        microwaves: cooking and satellite transmissions
o        infrared: heaters and night vision equipment
3.13 explain the detrimental effects of excessive exposure of the human body to electromagnetic waves, including:
o        microwaves: internal heating of body tissue
o        infrared: skin burns
and describe simple protective measures against the risks</t>
  </si>
  <si>
    <t>Light box + prism
Additional equipment (lesson resources):
glass prism
cardboard box
sheet of plain paper
scissors
three thermometers with bulbs painted matt black
sticky tape</t>
  </si>
  <si>
    <t>• Do not look directly at the Sun.
• Demonstrating the apparatus and the fact that there is a noticeable temperature rise is sufficient. You do not need to collect a complete set of data for students to analyse.
• Students should predict what will happen to the thermometers. Ask: Which thermometer will show the greatest temperature increase?</t>
  </si>
  <si>
    <t>Lesson 31 — The Electromagnetic Spectrum – Long Wavelengths
Specification Points:
3.10 know that light is part of a continuous electromagnetic spectrum that includes radio, microwave, infrared, visible, ultraviolet, x-ray and gamma ray radiations, and that all these waves travel at the same speed in free space
3.11 know the order of the electromagnetic spectrum in terms of decreasing wavelength and increasing frequency, including the colours of the visible spectrum
3.12 explain some of the uses of electromagnetic radiations, including:
o        radio waves: broadcasting and communications
o        microwaves: cooking and satellite transmissions
o        infrared: heaters and night vision equipment
3.13 explain the detrimental effects of excessive exposure of the human body to electromagnetic waves, including:
o        microwaves: internal heating of body tissue
o        infrared: skin burns
and describe simple protective measures against the risks
Pages 106–109
Requisitions:
Light box + prism
Additional equipment (lesson resources):
glass prism
cardboard box
sheet of plain paper
scissors
three thermometers with bulbs painted matt black
sticky tape
Notes:
Do not look directly at the Sun.</t>
  </si>
  <si>
    <t>• describe visible light as part of the electromagnetic spectrum and that all electromagnetic waves travel at the same speed in free space
• give the order of the electromagnetic spectrum
• explain the uses of radio waves, microwaves, and infrared radiation
• explain the dangers of microwaves and infrared radiation and describe simple protective measures.</t>
  </si>
  <si>
    <t>• electromagnetic spectrum: the complete set of electromagnetic waves
• radio wave: electromagnetic waves with the longest wavelength, which are used in communications
• microwave: electromagnetic waves with wavelengths of a few cm, which are used for communications and cooking
• infrared radiation: electromagnetic waves with a wavelength longer than red visible light</t>
  </si>
  <si>
    <t>1. Explain the experiment to students as follows: The prism will split the light falling onto it into a spectrum of colours. These colours will spread out onto the paper. The thermometers will absorb the radiation and gain energy. That means their temperature will increase. One of the thermometers will be placed in the blue part of the spectrum, to absorb blue light, one will be placed in the red part of the spectrum, and one will be placed just beyond the red part of the spectrum, where there is no visible light.
2. Students should predict what will happen to the thermometers.
3. Note the temperature of the three thermometers.
4. Place the box in sunlight and adjust the prism and thermometers so that they are in the correct part of the spectrum.
5. After 5 to 10 minutes, read off the new temperatures. The temperature of the thermometer just outside the visible spectrum should have increased the most.
1. Adjust the frequency setting (tuning) on the radio. What effect does this have on what you hear?
2. Move the aerial around. Does this affect the signal (quality of sound)?
3. Can you see the radio waves?
4. How do you know the frequency of the radio station you have found?
5. Explain whether all frequencies within the FM range are used for radio transmissions.
6. What kind of broadcasts can you find? Are they mainly speech or mainly music?</t>
  </si>
  <si>
    <t>The Electromagnetic Spectrum – Short Wavelengths</t>
  </si>
  <si>
    <t>3.10 know that light is part of a continuous electromagnetic spectrum that includes radio, microwave, infrared, visible, ultraviolet, x-ray and gamma ray radiations, and that all these waves travel at the same speed in free space
3.11 know the order of the electromagnetic spectrum in terms of decreasing wavelength and increasing frequency, including the colours of the visible spectrum
3.12 explain some of the uses of electromagnetic radiations, including:
o radio waves: broadcasting and communications
o microwaves: cooking and satellite transmissions
o infrared: heaters and night vision equipment
3.13 explain the detrimental effects of excessive exposure of the human body to electromagnetic waves, including:
o microwaves: internal heating of body tissue
o infrared: skin burns
and describe simple protective measures against the risks</t>
  </si>
  <si>
    <t>Pages 110-112</t>
  </si>
  <si>
    <t>Light boxes, power packs, A3 paper, protractors. Print Mirror Maze
Additional equipment (lesson resources):
X-ray photographs
ultraviolet lamp
ultraviolet security marker pen</t>
  </si>
  <si>
    <t>• Do not look at the bulb in the ultraviolet lamp and do not allow it to shine on your skin.
• Students should work in small groups for this practical task, moving between the three stations and spending approximately 3 minutes at each. As they do so you should perform the demonstration for gamma rays at the third station to each group. Instructions are shown below in Teacher demonstration 1: Demonstrating gamma radiation .
• Do not allow the students to handle the gas mantle or radioactive rock.</t>
  </si>
  <si>
    <t>Lesson 32 — The Electromagnetic Spectrum – Short Wavelengths
Specification Points:
3.10 know that light is part of a continuous electromagnetic spectrum that includes radio, microwave, infrared, visible, ultraviolet, x-ray and gamma ray radiations, and that all these waves travel at the same speed in free space
3.11 know the order of the electromagnetic spectrum in terms of decreasing wavelength and increasing frequency, including the colours of the visible spectrum
3.12 explain some of the uses of electromagnetic radiations, including:
o radio waves: broadcasting and communications
o microwaves: cooking and satellite transmissions
o infrared: heaters and night vision equipment
3.13 explain the detrimental effects of excessive exposure of the human body to electromagnetic waves, including:
o microwaves: internal heating of body tissue
o infrared: skin burns
and describe simple protective measures against the risks
Pages 110-112
Requisitions:
Light boxes, power packs, A3 paper, protractors. Print Mirror Maze
Additional equipment (lesson resources):
X-ray photographs
ultraviolet lamp
ultraviolet security marker pen
Notes:
Do not look at the bulb in the ultraviolet lamp and do not allow it to shine on your skin.
Take care with electrical equipment. Do not connect circuits to mains. Switch off power before changing connections.</t>
  </si>
  <si>
    <t>• state the order of the colours of visible light in terms of wavelength and frequency
• explain some uses of visible light, ultraviolet light, X-rays and gamma rays
• explain some of the dangers of ultraviolet and gamma rays and describe simple protective measures.</t>
  </si>
  <si>
    <t>• ionising radiation: this causes atoms to gain or lose electric charge, forming ions
• light: waves that can be detected by the eye
• ultraviolet radiation: electromagnetic radiation beyond the violet part of the visible spectrum and which is ionising
• X: -
• rays: high-frequency electromagnetic radiation produced by electron collisions
• gamma radiation: very high-frequency electromagnetic radiation produced by nuclear decay</t>
  </si>
  <si>
    <t>1. What do you see?
2. The lamp also gives out visible purple light. Can you see the ultraviolet radiation emitted from the lamp and reflected by the paper? Explain your answer.
3. Write a message to your partner using the security pen. Explain how your partner can read the message you have written.
4. Is the energy transferred by the ultraviolet radiation absorbed by the air and the security ink?
1. Place the gas mantle (or rock) on a desk in its bag.
2. Hold the Geiger counter near the gas mantle.
3. Move the Geiger counter further from to the gas mantle – the court rate should decrease.
4. Consult with your radiological officer before performing any activities using radioactive sources.
5. Do not allow the students to handle the gas mantle or radioactive rock.
1. Set up the apparatus as shown in the diagram.
2. Smear one of the sun creams on a piece of plastic.
3. Hold the plastic in the light from the ultraviolet lamp. Note the reading on the datalogger. This tells you how much ultraviolet radiation has been transmitted through the plastic and the sun cream. Record the reading in a simple table.
4. Smear a different type of sun cream on the plastic and repeat step 3 .
5. Do not look at the bulb in the ultraviolet lamp and do not allow it to shine on your skin.</t>
  </si>
  <si>
    <t xml:space="preserve">Investigating the Speed of Sound in Air </t>
  </si>
  <si>
    <t>3.23 know that sound waves are longitudinal waves that can be reflected and refracted
3.25P practical: investigate the speed of sound in air</t>
  </si>
  <si>
    <t>Pages 124–125
Lab Book: Pages 25–26</t>
  </si>
  <si>
    <t>Class sets of wooden blocks, stopwatches, 50m measuring tape
Additional equipment (lesson resources):
chalk
two wooden blocks
reflective surface, such as a wall (approximately 50 m away)
stop clock</t>
  </si>
  <si>
    <t>• Students should wear full shoes with closed heels and toes to protect their feet in case they drop the blocks.
• Students should take care not to trap fingers or thumbs when clapping wooden blocks together.
• Carry out the practical in a secure area, away from traffic or other hazards.
• Students should follow the Method in the Lab Book to perform the core practical and record their results in the table on p. 25.</t>
  </si>
  <si>
    <t>Lesson 33 — Investigating the Speed of Sound in Air
Specification Points:
3.23 know that sound waves are longitudinal waves that can be reflected and refracted
3.25P practical: investigate the speed of sound in air
Pages 124–125
Lab Book: Pages 25–26
Requisitions:
Class sets of wooden blocks, stopwatches, 50m measuring tape
Additional equipment (lesson resources):
chalk
two wooden blocks
reflective surface, such as a wall (approximately 50 m away)
stop clock
Notes:
Do lessons 81 to 84 here as well - last 4 lessons of waves, rather than putting them next year
Students should wear full shoes with closed heels and toes to protect their feet in case they drop the blocks.</t>
  </si>
  <si>
    <t>• investigate the speed of sound in air
• reduce random timing errors by using repeating cycles.</t>
  </si>
  <si>
    <t>• random error: an error in measurements caused by random variations, such as reaction times
• percentage difference: the percentage difference between a measured value and the actual value
• mean: the average when all the numbers are added together and divided by how many there are</t>
  </si>
  <si>
    <t>1. Mark a starting point on the ground with some chalk. Measure the distance from this point to the wall using the measuring tape. Write down this distance.
2. Clap the wooden blocks together and listen for the echo. As the echo arrives, repeat the clap of the blocks. Record the time it takes for ten claps and ten echoes to be heard using a stop clock.
3. Repeat step 2 three times and record your results in the table.</t>
  </si>
  <si>
    <t>Sound Pitch and Volume</t>
  </si>
  <si>
    <t>3.24P know that the frequency range for human hearing is 20–20 000 Hz
3.26P understand how an oscilloscope and microphone can be used to display a sound wave
3.27P practical: investigate the frequency of a sound wave using an oscilloscope
3.28P understand how the pitch of a sound relates to the frequency of vibration of the source
3.29P understand how the loudness of a sound relates to the amplitude of vibration of the source</t>
  </si>
  <si>
    <t>Pages 126–127
Lab Book: Pages 25–26</t>
  </si>
  <si>
    <t>Signal generator, oscilloscope, microphone (to show sound waves on the oscilloscope screen), loudspeaker (to find range of human hearing), tuning forks set</t>
  </si>
  <si>
    <t>• Set the signal generator to produce a note of 50 Hz as this should be clearly audible to the students. The students should also see the waveform on the oscilloscope screen. Ask students: What will happen to the sound if I increase the amplitude of the signal? (Answer: It will be louder, the waves on the screen will be taller.)
• Demonstrate the change, confirming the answer Tell the students: The greater the amplitude of a sound, the greater the volume and the louder the sound.</t>
  </si>
  <si>
    <t>Lesson 34 — Sound Pitch and Volume
Specification Points:
3.24P know that the frequency range for human hearing is 20–20 000 Hz
3.26P understand how an oscilloscope and microphone can be used to display a sound wave
3.27P practical: investigate the frequency of a sound wave using an oscilloscope
3.28P understand how the pitch of a sound relates to the frequency of vibration of the source
3.29P understand how the loudness of a sound relates to the amplitude of vibration of the source
Pages 126–127
Lab Book: Pages 25–26
Requisitions:
Signal generator, oscilloscope, microphone (to show sound waves on the oscilloscope screen), loudspeaker (to find range of human hearing), tuning forks set</t>
  </si>
  <si>
    <t>• operate an oscilloscope to display sound waves
• read values from an oscilloscope to determine period and frequency for a sound wave
• describe the relationship between pitch and frequency for a sound wave
• describe the relationships between amplitude and loudness (volume) for a sound wave
• state the frequency range of human hearing.</t>
  </si>
  <si>
    <t>• displacement: distance travelled in a particular direction from a specified point
• period: the time it takes the source to produce one wave
• pitch: how humans perceive frequency of sound waves
• volume: how humans perceive amplitude of sound waves
• oscilloscope: a device which displays the waveforms of electrical signals</t>
  </si>
  <si>
    <t>1. Connect the signal generator to the oscilloscope and loudspeaker so that it can produce notes that the students can hear.
2. Set the signal generator to produce a note of 50 Hz as this should be clearly audible to the students. The students should also see the waveform on the oscilloscope screen.
3. Demonstrate increasing the amplitude of the signal .
4. Demonstrate decreasing the amplitude and observing the screen.
5. Demonstrate decreasing the frequency and showing that increasing frequency increases pitch and makes the peaks on the screen closer together.
6. Demonstrate the lower limit range of human hearing by gradually lowering the frequency of the sound wave until the students can no longer hear it. They should still be able to see the speaker move.
7. Ask students to hold up their hands and tell them to lower them when they can no longer hear the sound. Demonstrate the upper limit by increasing the frequency of the source. You can move rapidly up through to 15 000 Hz and then increase more gradually. Eventually, all students’ hands will be down, this is usually well before 20 000 Hz.
1. Connect the microphone to the y -input of the oscilloscope.
2. Hit one of the tuning forks on the bench and bring it to the microphone. A waveform should appear on the oscilloscope screen. Alter the scale on the time base and the y- gain so that you can see a clear waveform on the screen.
3. Hit the tuning fork on the bench again and bring it to the microphone. If necessary, adjust the time base so that you have at least one full wave on the screen. Press ‘pause’ so you have a clear waveform on the screen. Record the scale of the time base.
4. Measure the horizontal distance from peak to peak of the waveform. Record the distance.
5. Repeat steps 3 and 4. Record your repeat readings in a table and calculate the average time period.
6. Repeat steps 3–5 for the other two tuning forks.</t>
  </si>
  <si>
    <t xml:space="preserve">The Doppler Effect </t>
  </si>
  <si>
    <t>3.8 explain why there is a change in the observed frequency and wavelength of a wave when its source is moving relative to an observer and that this is known as the Doppler effect</t>
  </si>
  <si>
    <t>Page 104</t>
  </si>
  <si>
    <t>Buzzer on string (see notes on equipment)
String (1–1.5 m in length)</t>
  </si>
  <si>
    <t>• Tie the string to the sound source securely and with tape.
• Swing the sound source. Students should hear the pitch of the sound changing as the source moves relative to them. This will be a rising and falling of pitch.</t>
  </si>
  <si>
    <t>Lesson 35 — The Doppler Effect
Specification Points:
3.8 explain why there is a change in the observed frequency and wavelength of a wave when its source is moving relative to an observer and that this is known as the Doppler effect
Page 104
Requisitions:
Buzzer on string (see notes on equipment)
String (1–1.5 m in length)
Notes:
Stand clear of swinging objects. Ensure masses are securely attached.</t>
  </si>
  <si>
    <t>• explain the change in wavelength of a wave when a source and observer move towards each other
• explain the change in wavelength of a wave when a source and observer move away from each other
• link a change in wavelength to a change in frequency
• state that a change in wavelength of a wave, when there is relative motion between a source and observer, is called the Doppler effect
• explain how the Doppler effect can apply to light as well as sound.</t>
  </si>
  <si>
    <t>• Doppler effect: the change in observed frequency and wavelength of a wave when the source is moving relative to the observer
• red shift: an increase in wavelength (decrease in frequency) observed when a wave source moves away from the observer
• blue shift: a decrease in wavelength (increase in frequency) observed when a wave source moves towards the observer</t>
  </si>
  <si>
    <t>1. Tie the string to the sound source securely and reinforce with tape.
2. Turn on the sound source so that the students can hear it.
3. Swing the sound source. Students should hear the pitch of the sound changing as the source moves relative to them. This will be a rising and falling of pitch.
4. Increase the speed of rotation and the pitch change will be greater.</t>
  </si>
  <si>
    <t>The Particle Model</t>
  </si>
  <si>
    <t>5.8P explain why heating a system will change the energy stored within the system and raise its temperature or produce changes of state
5.9P describe the changes that occur when a solid melts to form a liquid, and when a liquid evaporates or boils to form a gas</t>
  </si>
  <si>
    <t>Pages 181–183</t>
  </si>
  <si>
    <t>Req: Acetone
50ml water + 50ml ethanol
Rice and peas/beans/marbles
Diffusion of nitric oxide (or non fume cupboard alternative)
Brownian motion</t>
  </si>
  <si>
    <t>Wear eye protection. Handle acids and alkalis with care; wash any splashes off skin immediately.
Ethanol/spirit is flammable. Keep away from naked flames and sources of ignition.
Carry out this work in a fume cupboard or well-ventilated area.
Work in a well-ventilated area. Keep solvents away from naked flames — they are flammable.</t>
  </si>
  <si>
    <t>Lesson 39 — The Particle Model
Specification Points:
5.8P explain why heating a system will change the energy stored within the system and raise its temperature or produce changes of state
5.9P describe the changes that occur when a solid melts to form a liquid, and when a liquid evaporates or boils to form a gas
Pages 181–183
Requisitions:
Req: Acetone
50ml water + 50ml ethanol
Rice and peas/beans/marbles
Diffusion of nitric oxide (or non fume cupboard alternative)
Brownian motion
Notes:
Wear eye protection. Handle acids and alkalis with care; wash any splashes off skin immediately.
Ethanol/spirit is flammable. Keep away from naked flames and sources of ignition.
Carry out this work in a fume cupboard or well-ventilated area.
Work in a well-ventilated area. Keep solvents away from naked flames — they are flammable.</t>
  </si>
  <si>
    <t>• describe the arrangement and motion of the particles in solids, liquids, and gases
• describe the changes that occur to the particles during state changes.</t>
  </si>
  <si>
    <t>• boiling point: the change of state from a liquid to a gas at a specific temperature
• evaporation: a change of state from a liquid to a gas below its boiling point
• melting: the change of state from a solid to a liquid
• particle model of matter: the model scientists use to explain the behaviour of solids, liquids, and gases
• state of matter: either solid, liquid or gas</t>
  </si>
  <si>
    <t>Changing State</t>
  </si>
  <si>
    <t>5.8P explain why heating a system will change the energy stored within the system and raise its temperature or produce changes of state
5.9P describe the changes that occur when a solid melts to form a liquid, and when a liquid evaporates or boils to form a gas
5.10P describe the arrangement and motion of particles in solids, liquids, and gases
5.11P practical: obtain a temperature-time graph to show the constant temperature during a change of state</t>
  </si>
  <si>
    <t>Pages 186–187
Lab Book: Pages 54–56</t>
  </si>
  <si>
    <t>eye protection
thermometer
boiling tube
crushed ice
beaker
tripod and gauze
heat-resistant mat
Bunsen burner
stop clock
hot water
stirring rod</t>
  </si>
  <si>
    <t>• Students should wear eye protection.
• Students should take care when handling hot apparatus.
• Students should follow the method on p. 54 of the Lab Book to perform the core practical and record their results in the table.</t>
  </si>
  <si>
    <t>Lesson 40 — Changing State
Specification Points:
5.8P explain why heating a system will change the energy stored within the system and raise its temperature or produce changes of state
5.9P describe the changes that occur when a solid melts to form a liquid, and when a liquid evaporates or boils to form a gas
5.10P describe the arrangement and motion of particles in solids, liquids, and gases
5.11P practical: obtain a temperature-time graph to show the constant temperature during a change of state
Pages 186–187
Lab Book: Pages 54–56
Requisitions:
eye protection
thermometer
boiling tube
crushed ice
beaker
tripod and gauze
heat-resistant mat
Bunsen burner
stop clock
hot water
stirring rod
Notes:
Students should wear eye protection.
Students should take care when handling hot apparatus.
Handle glassware carefully. Report any breakages to the teacher immediately.</t>
  </si>
  <si>
    <t>• know that when a system is heated, its temperature may rise, or it may change state
• plan and complete an investigation to obtain a temperature&amp;ndash;time graph for ice being heated at a constant rate to form water
• describe and explain the shape of the temperature&amp;ndash;time graph for ice being heated at a constant rate to form water.</t>
  </si>
  <si>
    <t>• melting: the change of state from solid to liquid
• boiling: the change of state from liquid to gas at a specific temperature
• evaporation: the change of state from liquid to gas that occurs at the surface below boiling point
• condensation: the change of state from gas to liquid
• latent heat: the energy absorbed or released during a change of state without a change in temperature</t>
  </si>
  <si>
    <t>1. Place a thermometer carefully into a boiling tube. Fill the boiling tube with crushed ice and place the tube in a beaker. Adjust the position of the thermometer so that its bulb is in the middle of the ice. Make sure that the bulb of the thermometer is not touching the bottom of the boiling tube.
2. Put the beaker into a tripod and gauze. Pour hot water from a kettle into the beaker and keep it warm using the Bunsen burner.
3. Measure the temperature of the ice every 1 minute and record your results in a table. Stop taking readings 3 minutes after all the ice has melted.
4. Note the time at which the ice starts to melt and the time when it appears to be completely melted.</t>
  </si>
  <si>
    <t>Specific Heat Capacity</t>
  </si>
  <si>
    <t>5.2P use the following unit: joules/kilogram degree Celsius (J/kg °C)
5.12P know that specific heat capacity is the energy required to change the temperature of an object by one degree Celsius per kilogram of mass (J/kg °C)
5.13P use the equation: change in thermal energy = mass × specific heat capacity × change in temperature, ∆Q=m × c × ∆T</t>
  </si>
  <si>
    <t>Pages 183–186</t>
  </si>
  <si>
    <t>Demo:
Block of metal of a particular mass
Equal mass of water in a beaker
Both above a Bunsen burner
Timer
Thermometer</t>
  </si>
  <si>
    <t>Take care with hot apparatus. Do not touch hot equipment directly. Use tongs or heat-proof mats.</t>
  </si>
  <si>
    <t>Lesson 92 — Specific Heat Capacity
Specification Points:
5.2P use the following unit: joules/kilogram degree Celsius (J/kg °C)
5.12P know that specific heat capacity is the energy required to change the temperature of an object by one degree Celsius per kilogram of mass (J/kg °C)
5.13P use the equation: change in thermal energy = mass × specific heat capacity × change in temperature, ∆Q=m × c × ∆T
Pages 183–186
Requisitions:
Demo:
Block of metal of a particular mass
Equal mass of water in a beaker
Both above a Bunsen burner
Timer
Thermometer
Notes:
Take care with hot apparatus. Do not touch hot equipment directly. Use tongs or heat-proof mats.</t>
  </si>
  <si>
    <t>• know that specific heat capacity is the energy required to change the temperature of an object by one degree Celsius per kilogram of mass
• use the equation: change in thermal energy = mass &amp;times; specific heat capacity &amp;times; change in temperature, \({∆} Q= m\times c\times{∆} T\).</t>
  </si>
  <si>
    <t>• change in thermal energy = mass &amp;times; specific heat capacity &amp;times; change in temperature, \({∆} Q= m\times c\times{∆} T\)
• specific heat capacity: the energy required to change the temperature of an object by one degree Celsius per kilogram of mass ( J/kg&amp;thinsp;&amp;#x2103; )</t>
  </si>
  <si>
    <t>Specific Heat Capacity Investigation</t>
  </si>
  <si>
    <t>5.2P use the following unit: joules/kilogram degree Celsius (J/kg °C)
5.13P use the equation: change in thermal energy = mass × specific heat capacity × change in temperature, ∆Q=m × c × ∆T
5.14P practical: investigate the specific heat capacity of materials including water and some solids</t>
  </si>
  <si>
    <t>Pages 183–186
Lab Book: Pages 41–43</t>
  </si>
  <si>
    <t>polystyrene cup
polystyrene lid with holes for immersion heater and thermometer
glass beaker
balance
tripod
thermometer
12 V immersion heater power source
voltmeter and ammeter
or joulemeter
stop clock</t>
  </si>
  <si>
    <t>• Clear up any spills immediately.
• Take care with water around electrical appliances.
• Take care when moving the immersion heater, it will get very hot.
• Rinse any scalds under running water for 10 minutes.</t>
  </si>
  <si>
    <t>Lesson 93 — Specific Heat Capacity Investigation
Specification Points:
5.2P use the following unit: joules/kilogram degree Celsius (J/kg °C)
5.13P use the equation: change in thermal energy = mass × specific heat capacity × change in temperature, ∆Q=m × c × ∆T
5.14P practical: investigate the specific heat capacity of materials including water and some solids
Pages 183–186
Lab Book: Pages 41–43
Requisitions:
polystyrene cup
polystyrene lid with holes for immersion heater and thermometer
glass beaker
balance
tripod
thermometer
12 V immersion heater power source
voltmeter and ammeter
or joulemeter
stop clock
Notes:
Clear up any spills immediately.
Take care with water around electrical appliances.
Take care with hot apparatus. Do not touch hot equipment directly. Use tongs or heat-proof mats.</t>
  </si>
  <si>
    <t>• measure the specific heat capacity of a solid
• measure the specific heat capacity of water
• process data to determine the specific heat capacity.</t>
  </si>
  <si>
    <t>• specific heat capacity: the amount of energy required to raise the temperature of 1 kg of a substance by 1 °C
• thermal energy: the total kinetic energy of all particles in a substance
• joulemeter: an instrument used to measure energy transferred to a heater</t>
  </si>
  <si>
    <t>1. Put a polystyrene cup with a lid into a beaker. Put the beaker onto a balance and zero the balance. Remove the lid then fill the cup almost to the top with water. Replace the lid then and write down the mass of the water. Carefully remove the cup and lid from the balance.
2. Put a thermometer into the water and support it as shown in the diagram. Put a 12 V immersion heater into the water, making sure that the heating element is completely below the water level. If you are using a joulemeter, then this should be set to zero at the beginning of the experiment.
3. Record the temperature of the water and then switch the immersion heater on. Stir the water in the cup gently using a stirring rod.
4. Record the voltage reading from the voltmeter and the current from the ammeter in the Results section. If you are using a joulemeter, then you will need to record the reading on the joulemeter and write this in your table.
5. After 5 minutes, record the temperature of the water again.</t>
  </si>
  <si>
    <t>Density</t>
  </si>
  <si>
    <t>5.1 use the following units: degree Celsius (°C), Kelvin (K), joule (J), kilogram (kg), kilogram/metre3 (kg/m3), metre (m), metre2 (m2), metre3 (m3), metre/second (m/s), metre/second2 (m/s2), newton (N) and pascal (Pa)
5.3 know and use the relationship between density, mass and volume: density=mass/volume
5.4 practical: investigate density using direct measurements of mass and volume</t>
  </si>
  <si>
    <t>Pages 173–175
Lab Book: Pages 37–40</t>
  </si>
  <si>
    <t>Req:
Metal blocks
Irregular objects
Balances
Different density liquids x3 (e.g. oil, ethanol, glycerol)
Additional equipment (lesson resources):
ruler
displacement can
bowl
water
measuring cylinder
beaker
regular and irregular solid objects
string
different liquids</t>
  </si>
  <si>
    <t>Mop up any spills straight away.</t>
  </si>
  <si>
    <t>Lesson 37 — Density
Specification Points:
5.1 use the following units: degree Celsius (°C), Kelvin (K), joule (J), kilogram (kg), kilogram/metre3 (kg/m3), metre (m), metre2 (m2), metre3 (m3), metre/second (m/s), metre/second2 (m/s2), newton (N) and pascal (Pa)
5.3 know and use the relationship between density, mass and volume: density=mass/volume
5.4 practical: investigate density using direct measurements of mass and volume
Pages 173–175
Lab Book: Pages 37–40
Requisitions:
Req: 
Metal blocks
Irregular objects
Balances
Different density liquids x3 (e.g. oil, ethanol, glycerol)
Additional equipment (lesson resources):
ruler
displacement can
bowl
water
measuring cylinder
beaker
regular and irregular solid objects
string
different liquids
Notes:
Wear eye protection throughout this practical.
Mop up any spills straight away.
Ethanol/spirit is flammable. Keep away from naked flames and sources of ignition.</t>
  </si>
  <si>
    <t>• plan an investigation to find the density of a regular object
• plan an investigation to find the density of an irregular object by submersion in water.</t>
  </si>
  <si>
    <t>• density: \(\mathrm{density}=\frac{\mathrm{mass}}{\mathrm{volume}}\)
• volume of a cuboid: volume = length &amp;times; width &amp;times; height</t>
  </si>
  <si>
    <t>1. Measure the mass of a regular object. Write the name of the material and the mass of the object in the table.
2. Measure the height, length and width of the regular object. Write them in the table.
3. Repeat steps 1 and 2 for different regular objects.</t>
  </si>
  <si>
    <t>Density and Pressure</t>
  </si>
  <si>
    <t>5.1 use the following units: kilogram (kg), kilogram/metre3 (kg/m3), metre2 (m2), metre3 (m3), newton (N) and pascal (Pa)
5.3 know and use the relationship between density, mass and volume: density=mass/volume
5.5 know and use the relationship between pressure, force and area: pressure=force/area</t>
  </si>
  <si>
    <t>Pages 173–176</t>
  </si>
  <si>
    <t>Rectangular wooden blocks (different dimensions to each side), rulers, newton-meters</t>
  </si>
  <si>
    <t>Lesson 38 — Density and Pressure
Specification Points:
5.1 use the following units: kilogram (kg), kilogram/metre3 (kg/m3), metre2 (m2), metre3 (m3), newton (N) and pascal (Pa)
5.3 know and use the relationship between density, mass and volume: density=mass/volume
5.5 know and use the relationship between pressure, force and area: pressure=force/area
Pages 173–176
Requisitions:
Rectangular wooden blocks (different dimensions to each side), rulers, newton-meters</t>
  </si>
  <si>
    <t>• know and use the relationship: \(\mathrm{density}=\frac{\mathrm{mass}}{\mathrm{volume}}\)
• know and use the relationship: \(\mathrm{pressure=\frac{force}{area}}\).</t>
  </si>
  <si>
    <t>• pascal: a unit of pressure where 1 pascal = 1 \(\mathrm{N/m^2}\)
• pressure: \(\mathrm{pressure=\frac{force}{area}}\)</t>
  </si>
  <si>
    <t>Pressure in Fluids</t>
  </si>
  <si>
    <t>5.1 use the following units: kilogram (kg), kilogram/metre3 (kg/m3), metre (m), metre2 (m2), newton (N) and pascal (Pa)
5.6 understand how the pressure at a point in a gas or liquid at rest acts equally in all directions
5.7 know and use the relationship for pressure difference: pressure difference=height×density×gravitational field strength
P=h×ρ×g
5.15 explain how molecules in a gas have random motion and that they exert a force and hence a pressure on the walls of a container</t>
  </si>
  <si>
    <t>Pages 176–179</t>
  </si>
  <si>
    <t>Long tube with holes in it to put in the sink
Hydraulic syringes</t>
  </si>
  <si>
    <t>Lesson 41 — Pressure in Fluids
Specification Points:
5.1 use the following units: kilogram (kg), kilogram/metre3 (kg/m3), metre (m), metre2 (m2), newton (N) and pascal (Pa)
5.6 understand how the pressure at a point in a gas or liquid at rest acts equally in all directions
5.7 know and use the relationship for pressure difference: pressure difference=height×density×gravitational field strength
P=h×ρ×g
5.15 explain how molecules in a gas have random motion and that they exert a force and hence a pressure on the walls of a container
Pages 176–179
Requisitions:
Long tube with holes in it to put in the sink
Hydraulic syringes
Notes:
Teach lessons 92 to 97 here to consolidate topic 5 (solids liquids gases)</t>
  </si>
  <si>
    <t>• explain how the molecules in a gas exert a pressure on the walls of their container
• know and use the relationship: pressure difference = height &amp;times; density &amp;times; gravitational field strength.</t>
  </si>
  <si>
    <t>• pressure: force per unit area, measured in pascals (Pa)
• pascal (Pa): the unit of pressure, equal to 1 N/m²
• fluid: a substance that can flow; a liquid or a gas
• pressure in fluids: pressure increases with depth and acts equally in all directions at a point</t>
  </si>
  <si>
    <t>Temperature in Kelvin</t>
  </si>
  <si>
    <t>5.1 use the following units: degrees Celsius (°C), Kelvin (K), joule (J), kilogram, kilogram/metre3 (kg/m3), metre (m), metre2 (m2), metre3 (m3), metre/second (m/s), metre/second2 (m/s2), newton (N) and pascal (Pa)
5.16 understand why there is an absolute zero of temperature which is -273 °C
5.17 describe the Kelvin scale of temperature and be able to convert between the Kelvin and Celsius scales
5.18 understand why an increase in temperature results in an increase in the average speed of gas molecules
5.19 know that the Kelvin temperature of a gas is proportional to the average kinetic energy of its molecules</t>
  </si>
  <si>
    <t>Pages 190–192</t>
  </si>
  <si>
    <t>Wear eye protection and use heatproof gloves when handling hot equipment. Avoid touching the</t>
  </si>
  <si>
    <t>Lesson 95 — Temperature in Kelvin
Specification Points:
5.1 use the following units: degrees Celsius (°C), Kelvin (K), joule (J), kilogram, kilogram/metre3 (kg/m3), metre (m), metre2 (m2), metre3 (m3), metre/second (m/s), metre/second2 (m/s2), newton (N) and pascal (Pa)
5.16 understand why there is an absolute zero of temperature which is -273 °C
5.17 describe the Kelvin scale of temperature and be able to convert between the Kelvin and Celsius scales
5.18 understand why an increase in temperature results in an increase in the average speed of gas molecules
5.19 know that the Kelvin temperature of a gas is proportional to the average kinetic energy of its molecules
Pages 190–192</t>
  </si>
  <si>
    <t>• describe the Kelvin scale of temperature and be able to convert between the Kelvin and Celsius scales
• know that the Kelvin temperature of a gas is proportional to the average kinetic energy of its molecules.</t>
  </si>
  <si>
    <t>• absolute zero: the lowest possible temperature (-273 °C or 0 K) at which particles have no kinetic energy
• kelvin (K): the SI unit of temperature; 0 K = -273 °C
• kinetic energy of particles: the energy of motion of particles, which increases with temperature</t>
  </si>
  <si>
    <t>Boyle's Law</t>
  </si>
  <si>
    <t>5.22 use the relationship between the pressure and volume of a gas at constant temperature: p1V1 = p2V2</t>
  </si>
  <si>
    <t>Pages 187–189</t>
  </si>
  <si>
    <t>Boyle's Law Demo
Balloons</t>
  </si>
  <si>
    <t>Lesson 96 — Boyle's Law
Specification Points:
5.22 use the relationship between the pressure and volume of a gas at constant temperature: p1V1 = p2V2
Pages 187–189
Requisitions:
Boyle's Law Demo
Balloons</t>
  </si>
  <si>
    <t>• explain, for a fixed amount of gas, the qualitative relationship between pressure and volume at constant temperature
• use the relationship between the pressure and volume of a fixed mass of gas at constant temperature: p 1 V 1 = p 2 V 2</t>
  </si>
  <si>
    <t>• Boyle's law: at constant temperature, the pressure of a gas is inversely proportional to its volume (p₁V₁ = p₂V₂)
• inversely proportional: as one quantity increases, the other decreases by the same factor</t>
  </si>
  <si>
    <t>The Pressure Law</t>
  </si>
  <si>
    <t>5.1 use the following units: degrees Celsius (°C), Kelvin (K), joule (J), kilogram, kilogram/metre3 (kg/m3), metre (m), metre2 (m2), metre3 (m3), metre/second (m/s), metre/second2 (m/s2), newton (N) and pascal (Pa)
5.20 explain, for a fixed amount of gas, the qualitative relationship between: 
• pressure and volume at constant temperature 
• pressure and Kelvin temperature at constant volume
5.21 use the relationship between the pressure and Kelvin temperature of a gas at constant volume: p1/T1 = p2/T2</t>
  </si>
  <si>
    <t>Pages 187–192</t>
  </si>
  <si>
    <t>P vs T demo from Y12 B3L1 Amonton's law
Balloons</t>
  </si>
  <si>
    <t>Lesson 97 — The Pressure Law
Specification Points:
5.1 use the following units: degrees Celsius (°C), Kelvin (K), joule (J), kilogram, kilogram/metre3 (kg/m3), metre (m), metre2 (m2), metre3 (m3), metre/second (m/s), metre/second2 (m/s2), newton (N) and pascal (Pa)
5.20 explain, for a fixed amount of gas, the qualitative relationship between: 
• pressure and volume at constant temperature 
• pressure and Kelvin temperature at constant volume
5.21 use the relationship between the pressure and Kelvin temperature of a gas at constant volume: p1/T1 = p2/T2
Pages 187–192
Requisitions:
P vs T demo from Y12 B3L1 Amonton's law
Balloons</t>
  </si>
  <si>
    <t>• explain, for a fixed amount of gas, the qualitative relationship between pressure and Kelvin temperature at constant volume
• use the relationship between the pressure and Kelvin temperature of a fixed mass of gas at constant volume: p 1 T 1 = p 2 T 2</t>
  </si>
  <si>
    <t>• pressure law: at constant volume, the pressure of a gas is directly proportional to its absolute temperature
• directly proportional: as one quantity increases, the other increases by the same factor
• absolute temperature: temperature measured in kelvin</t>
  </si>
  <si>
    <t>Magnetism</t>
  </si>
  <si>
    <t>6.2 know that magnets repel and attract other magnets and attract magnetic substances
6.3 describe the properties of magnetically hard and soft materials
6.5 know that magnetism is induced in some materials when they are placed in a magnetic field</t>
  </si>
  <si>
    <t>Pages 197–198</t>
  </si>
  <si>
    <t>Bar magnets
Compases
Large sheets of paper
Iron filings
Additional equipment (lesson resources):
a range of materials including magnetic ones and non-magnetic ones</t>
  </si>
  <si>
    <t>• Do not use sharp objects.
• Students should work individually or in pairs for this practical task.
• Make sure students record observations. Display the table template in Slideshow: Results table 1 . Students should copy and complete the table in their exercise books. Slideshow: Results table 1
• Ensure that students realise that not all metals are magnetic; only three common metals are: iron, nickel and cobalt. Some rare earth metals are magnetic, but the students do not need to recall these.
• Students should note that opposite poles of magnets attract and like poles repel.
• Be careful with the sharp end of any nail.
• Students should work individually or pairs for this practical task.
• Make sure students record the data they have collected in a simple table for analysis. Display the table template on Slideshow: Results table 2 . Students should copy and complete the table in their exercise books. Slideshow: Results table 2</t>
  </si>
  <si>
    <t>Lesson 42 — Magnetism
Specification Points:
6.2 know that magnets repel and attract other magnets and attract magnetic substances
6.3 describe the properties of magnetically hard and soft materials
6.5 know that magnetism is induced in some materials when they are placed in a magnetic field
Pages 197–198
Requisitions:
Bar magnets
Compases
Large sheets of paper
Iron filings
Additional equipment (lesson resources):
a range of materials including magnetic ones and non-magnetic ones
Notes:
Combine with 43 as very short
Do not use sharp objects.</t>
  </si>
  <si>
    <t>• describe the interactions between magnets
• categorise materials based on their magnetic properties
• describe induced magnetism.</t>
  </si>
  <si>
    <t>• induced magnet: material which becomes magnetised when it is placed near another magnet
• magnet: a material that is magnetised and has a magnetic field
• magnetically hard material: induced magnet which retains its magnetism when the other magnet is removed
• magnetically soft material: induced magnet which loses its magnetism when the other magnet is removed
• magnetic field: the region of space around a magnet where a magnetic material experiences a force
• magnetic substance: a material which is attracted to both north and south poles of a magnet e.g. iron, steel, nickel
• non-magnetic materials: materials which do not attract or repel a magnet e.g. plastic, wood
• permanent magnet: a material which remains magnetic when not near other magnets (within their magnetic field)</t>
  </si>
  <si>
    <t>1. Use one of the bar magnets to try to attract the different materials.
2. List the items or materials which are magnetic and those that are not magnetic in your results table.
3. Test whether the different ends of the magnets attract or repel each other.
4. Write down your observations.
1. Check that the nail is not magnetised by trying to lift some paperclips.
2. Draw the north pole of the magnet along the length of the iron rod or nail five times. Make sure that you move the magnet in the same direction along the nail each time.
3. Put the bar magnet out of the way.
4. Try to pick up the paperclips with the iron rod. Record how many are lifted.
5. Draw the north pole another five times in the same direction.
6. Try to lift the paperclips again and record how many
7. Repeat the stroking and lifting process twice more.
8. Repeat but this time stroke the nail in the opposite direction with the north pole of the magnet five times before attempting to lift the paperclips.
9. Continue until you have demagnetised the nail.
10. Repeat the experiment with the steel nail.</t>
  </si>
  <si>
    <t>Magnetic Fields</t>
  </si>
  <si>
    <t>6.4 understand the term 'magnetic field line'
6.6 practical: investigate the magnetic field pattern for a permanent bar magnet and between two bar magnets
6.7 describe how to use two permanent magnets to produce a uniform magnetic field pattern</t>
  </si>
  <si>
    <t>Pages 199–201
Lab Book: Pages 44–47</t>
  </si>
  <si>
    <t>bar magnet
sheet of paper
sprinkler containing iron filings
eye protection
cling wrap</t>
  </si>
  <si>
    <t>• Wear eye protection to prevent the iron filings getting into eyes.
• Wear eye protection to prevent the ironing filings getting into eyes.</t>
  </si>
  <si>
    <t>Lesson 43 — Magnetic Fields
Specification Points:
6.4 understand the term 'magnetic field line'
6.6 practical: investigate the magnetic field pattern for a permanent bar magnet and between two bar magnets
6.7 describe how to use two permanent magnets to produce a uniform magnetic field pattern
Pages 199–201
Lab Book: Pages 44–47
Requisitions:
bar magnet
sheet of paper
sprinkler containing iron filings
eye protection
cling wrap
Notes:
Wear eye protection to prevent the iron filings getting into eyes.
Take care in the field. Be aware of uneven ground, stinging plants, and wildlife. Wash hands after fieldwork.</t>
  </si>
  <si>
    <t>• use the term &amp;lsquo;magnetic field line&amp;rsquo;
• use a compass to plot the shape of magnetic fields surrounding a single magnet and pair of magnets.</t>
  </si>
  <si>
    <t>• magnetic field: the region of space around a magnet where a magnetic material experiences a force
• magnetic field line: a line showing the direction of the force produced by a magnet</t>
  </si>
  <si>
    <t>1. Place the bar magnet in the centre of the sheet of paper.
2. Sprinkle iron filings around the magnet from a few centimetres above.
3. Look carefully for any patterns formed. These filings should link up to show the magnetic field lines.
1. Place a bar magnet on a piece of plain paper and draw around the magnet using a pencil.
2. Sprinkle iron filings around the magnet from a few centimetres above.
3. Move the compass so that the opposite end of the compass (the silver point) is in line with the dot.
4. Draw a dot where the red arrow points and then move the compass again
5. Repeat steps 3 and 4 until you have drawn a field line of the bar magnet.
6. Repeat steps 2–5 for different starting points around the bar magnet.</t>
  </si>
  <si>
    <t>Magnetic Fields Around Current-Carrying Wires</t>
  </si>
  <si>
    <t>6.8 know that an electric current in a conductor produces a magnetic field around it
6.9P describe the construction of electromagnets
6.10P draw magnetic field patterns for a straight wire, a flat circular coil and a solenoid when each is carrying a current</t>
  </si>
  <si>
    <t>Pages 201–203</t>
  </si>
  <si>
    <t>Overhead projector with current-carrying wire and current-carrying solenoid, compasses
ammeter
box of paper clips
insulated copper wire
power supply
soft iron bar or iron nail
sticky tape
switch
Additional equipment (lesson resources):
cylinder
scissors
sheet of card
stand with 2 clamps and bosses</t>
  </si>
  <si>
    <t>Do not touch the wire while the current is flowing, as it can get very hot. Switch</t>
  </si>
  <si>
    <t>Lesson 44 — Magnetic Fields Around Current-Carrying Wires
Specification Points:
6.8 know that an electric current in a conductor produces a magnetic field around it
6.9P describe the construction of electromagnets
6.10P draw magnetic field patterns for a straight wire, a flat circular coil and a solenoid when each is carrying a current
Pages 201–203
Requisitions:
Overhead projector with current-carrying wire and current-carrying solenoid, compasses
ammeter
box of paper clips
insulated copper wire
power supply
soft iron bar or iron nail
sticky tape
switch
Additional equipment (lesson resources):
cylinder
scissors
sheet of card
stand with 2 clamps and bosses
Notes:
Do not touch the wire while the current is flowing, as it can get very hot. Switch off the
Take care with electrical equipment. Do not connect circuits to mains. Switch off power before changing connections.
Take care in the field. Be aware of uneven ground, stinging plants, and wildlife. Wash hands after fieldwork.</t>
  </si>
  <si>
    <t>• describe the magnetic effect of a current in a wire
• draw magnetic field patterns produced by a current-carrying wire and a solenoid
• describe the construction of an electromagnet.</t>
  </si>
  <si>
    <t>• electromagnet: a magnet produced by passing an electric current through a solenoid
• solenoid: a long cylindrical coil of wire</t>
  </si>
  <si>
    <t>1. Make a small hole in the centre of the card and fix it in a clamp and stand.
2. Put the wire through the hole in the card and support it above the card using the second clamp. The wire should be vertical (diagram 1). Connect the two ends of the wire to the d.c. terminals on the power supply, but do not switch it on yet.
3. Arrange the plotting compasses around the wire. Note the directions they are pointing.
4. Switch the power supply on and note the directions in which the compasses are pointing. Also note whether the current (from + to −) is flowing up or down the wire.
5. Switch off and swap over the connections at the power supply. Switch on and note the directions of the compasses and the current.
6. Make another hole in the card and arrange the wire into a loop, as shown in diagram 2.
7. Repeat steps 3 and 4. You may need to move the plotting compasses around to work out the shape of the magnetic field between the wires, as well as around them.
8. Wrap a coil of wire around the cylinder (you may need to use a different wire if the original is too thick to wind). Cut slots in the card so you can slide the turns of wire off the cylinder and onto the card (diagram 3).
9. Repeat steps 3 and 4. You may need to move the plotting compasses around to work out the shape of the magnetic field inside the coil as well as around it.
1. Plan an investigation to determine how one or both of the following factors affect the strength of an electromagnet:
2. Your plan should include:
3. Show your plan to your teacher before you start</t>
  </si>
  <si>
    <t>The Motor Effect</t>
  </si>
  <si>
    <t>6.11P know that there is a force on a charged particle when it moves in a magnetic field as long as its motion is not parallel to the field
6.12 understand why a force is exerted on a current-carrying wire in a magnetic field and how this effect is applied in simple d.c. electric motors and loudspeakers
6.13 use the left-hand rule to predict the direction of the resulting force when a wire carries a current perpendicular to a magnetic field
6.14 describe how the force on a current-carrying conductor in a magnetic field changes with the magnitude and direction of the field and current</t>
  </si>
  <si>
    <t>Pages 206–208</t>
  </si>
  <si>
    <t>EM induction demos:
Foil between magnets with current flowing through
Current-carrying wire in U-shaped magnet
Etc
Kit to build simple speaker?
Additional equipment (lesson resources):
A cathode ray tube (e.g. old CRT television set or cathode ray oscilloscope)
A strong bar magnet or rare earth magnet is required</t>
  </si>
  <si>
    <t>• A strong bar magnet should be sufficient to cause deflection. Be careful not to tap the glass with the magnet or it may be damaged. Hold the magnet firmly.</t>
  </si>
  <si>
    <t>Lesson 45 — The Motor Effect
Specification Points:
6.11P know that there is a force on a charged particle when it moves in a magnetic field as long as its motion is not parallel to the field
6.12 understand why a force is exerted on a current-carrying wire in a magnetic field and how this effect is applied in simple d.c. electric motors and loudspeakers
6.13 use the left-hand rule to predict the direction of the resulting force when a wire carries a current perpendicular to a magnetic field
6.14 describe how the force on a current-carrying conductor in a magnetic field changes with the magnitude and direction of the field and current
Pages 206–208
Requisitions:
EM induction demos:
Foil between magnets with current flowing through
Current-carrying wire in U-shaped magnet
Etc
Kit to build simple speaker?
Additional equipment (lesson resources):
A cathode ray tube (e.g. old CRT television set or cathode ray oscilloscope)
A strong bar magnet or rare earth magnet is required
Notes:
tap the glass with the magnet or it may be damaged. Hold the magnet firmly.</t>
  </si>
  <si>
    <t>• describe the force on a charged particle when it moves in a magnetic field if its motion is not parallel to the field
• describe the force on a current-carrying wire when it is placed in a magnetic field.</t>
  </si>
  <si>
    <t>• motor effect: the force affecting a changed particle when if moves through a magnetic field
• Fleming&amp;rsquo;s left-hand rule: a rule to find the direction of the current (second finger), magnetic field (first finger) or force on a current-carrying wire (thumb); the first finger, second finger and thumb must be placed perpendicular to each other</t>
  </si>
  <si>
    <t>1. Turn on the TV or oscilloscope.
2. If using an oscilloscope turn off the time base so that there is just a dot in the centre of the screen. If using a TV, then any reasonably steady image will be OK.
3. Demonstrate that a strong magnet will deflect the beam – move it around near the dot on the screen. This will cause the beam to be deflected.
4. It is hard to describe the direction of the change using the left-hand rule as the position of the magnetic field is not easy to see and it is not uniform so do not attempt this.
1. Using the crocodile clips, connect the stiff wire in series with the power supply and switch.
2. Position the stiff wire so that it passes between the magnetic poles as shown in the figure. It can be suspended on a pair of retort stands.
3. Set the variable resistor to a high resistance setting to limit the current in the circuit.
4. Press the switch briefly so that a current passes through the wire. Discuss the movement of the wire (up or down).
5. Decrease the circuit resistance to increase the current and demonstrate that the force is greater.
6. Demonstrate the effect of reversing the current – the wire will move in the opposite direction.
7. Demonstrate reversing the magnetic field – the wire will move in the opposite direction.
8. Repeat the demonstration but show students Fleming’s left-hand rule, demonstrating that it works to show the direction of the force each time.</t>
  </si>
  <si>
    <t>Motors and Speakers</t>
  </si>
  <si>
    <t>6.12 understand why a force is exerted on a current-carrying wire in a magnetic field and how this effect is applied in simple d.c. electric motors and loudspeakers
6.13 use the left-hand rule to predict the direction of the resulting force when a wire carries a current perpendicular to a magnetic field
6.14 describe how the force on a current-carrying conductor in a magnetic field changes with the magnitude and direction of the field and current</t>
  </si>
  <si>
    <t>Pages 208–209</t>
  </si>
  <si>
    <t>Build motors kits
Additional equipment (lesson resources):
signal generator loudspeaker
connecting leads</t>
  </si>
  <si>
    <t>• Avoid high volumes and very high frequencies which can be annoying.</t>
  </si>
  <si>
    <t>Lesson 46 — Motors and Speakers
Specification Points:
6.12 understand why a force is exerted on a current-carrying wire in a magnetic field and how this effect is applied in simple d.c. electric motors and loudspeakers
6.13 use the left-hand rule to predict the direction of the resulting force when a wire carries a current perpendicular to a magnetic field
6.14 describe how the force on a current-carrying conductor in a magnetic field changes with the magnitude and direction of the field and current
Pages 208–209
Requisitions:
Build motors kits
Additional equipment (lesson resources):
signal generator loudspeaker
connecting leads
Notes:
Teach lessons 98 to 100 here to consolidate topic 6 (electromagnetism)
Avoid high volumes and very high frequencies which can be annoying.</t>
  </si>
  <si>
    <t>• describe the operation of a loudspeaker
• describe the operation of a simple electric motor
• construct a simple electric motor.</t>
  </si>
  <si>
    <t>• electric motor:&amp;nbsp;the most important use of the motor effect, where movement is produced from current and a magnetic field
• loudspeaker:&amp;nbsp;uses the motor effect to produce vibrations (sounds) from varying electrical signals</t>
  </si>
  <si>
    <t>1. Connect the loudspeaker to the signal generator.
2. Demonstrate that the speaker moves slowly in and out when there are low frequency electrical signals provided (between 0.5 and 4 Hz).
3. Demonstrate that the speaker moves in and out faster as the frequency increases (5–10 Hz) and then the vibrations become harder to see (30–10⁰ Hz) and finally reach high frequencies where the motion becomes imperceptible (1000 Hz).
4. If a deconstructed speaker (where the cone has been removed) is available, students can be shown the coil and magnet arrangement.
1. Wrap some sticky tape around the end of the tube sticking out of the wooden mounting. Then wrap about 10 turns of wire around the mounting (diagram 1).
2. Bend the bare ends of the wire into loops, and fasten them to the tube with rubber bands (diagram 2).
3. Mount the coil on the base using the axle and split pins (diagram 3).
4. Attach the magnets to the steel yoke. Make sure they are trying to attract each other (diagram 4).
5. Stand the base in the yoke. Cut two more lengths of wire with bare ends and fix them so that they are touching the bare ends of wire on your coil. These wires are your brushes (diagram 5).
6. Connect the other ends of the wires to the power pack. Ask your teacher what voltage to set. Do not exceed this voltage. Now try out your motor you might need to spin the coil to get it going.
1. Draw a circle with a radius of 15 cm on the stiff paper. Cut out a 45° sector from the card and fasten the edges together with sticky tape to make a cone shape (diagram 1).
2. Cut a strip of stiff paper about 4 cm wide 20 cm long. Roll it up so you have a cylinder 4 cm long and about 3 cm across. Fasten it with sticky tape.
3. Fasten the cylinder to the vertex of the cone with sticky tape (diagram 2).
4. Wind 30 turns of wire around the cylinder and fasten them firmly with sticky tape (diagram 2).
5. Use sticky tape to fasten two C-cores or iron yokes together to make a W shape, as shown in diagram 3.
6. Pla</t>
  </si>
  <si>
    <t>Electromagnetic Induction</t>
  </si>
  <si>
    <t>6.15 know that a voltage is induced in a conductor or a coil when it moves through a magnetic field or when a magnetic field changes through it and describe the factors that affect the size of the induced voltage
6.16 describe the generation of electricity by the rotation of a magnet within a coil of wire and of a coil of wire within a magnetic field, and describe the factors that affect the size of the induced voltage</t>
  </si>
  <si>
    <t>Pages 210–212</t>
  </si>
  <si>
    <t>strong U-shaped magnet (see figure) or strong magnets on a U-frame
galvanometer (very sensitive ammeter)
connecting leads
two crocodile clips
straight copper wire</t>
  </si>
  <si>
    <t>• Take care with the large magnet, this can be heavy.
There are no safety considerations.
• Take care not to turn the generator too quickly and ‘blow’ the bulb or damage the oscilloscope.</t>
  </si>
  <si>
    <t>Lesson 98 — Electromagnetic Induction
Specification Points:
6.15 know that a voltage is induced in a conductor or a coil when it moves through a magnetic field or when a magnetic field changes through it and describe the factors that affect the size of the induced voltage
6.16 describe the generation of electricity by the rotation of a magnet within a coil of wire and of a coil of wire within a magnetic field, and describe the factors that affect the size of the induced voltage
Pages 210–212
Requisitions:
strong U-shaped magnet (see figure) or strong magnets on a U-frame
galvanometer (very sensitive ammeter)
connecting leads
two crocodile clips
straight copper wire
Notes:
Take care with the large magnet, this can be heavy.
Take care with electrical equipment. Do not connect circuits to mains. Switch off power before changing connections.</t>
  </si>
  <si>
    <t>• explain that a voltage is induced in a conductor or a coil when it moves through a magnetic field or when a magnetic field changes through it
• describe the generation of electricity by the rotation of a magnet within a coil of wire and of a coil of wire within a magnetic field.</t>
  </si>
  <si>
    <t>• electromagnetic induction: generating a voltage by changing the magnetic field passing through a wire or coil
• generator: a device which uses electromagnetic induction to produce currents</t>
  </si>
  <si>
    <t>1. Place the large magnet onto the desk making sure it is not near sensitive equipment.
2. Connect the straight wire to the galvanometer with the crocodile clips.
3. Tell students to observe the reading on the meter carefully.
4. Move the wire upwards through the magnetic field slowly.
5. Ask students: What do you observe? (Answer: A small current.)
6. Move the wire upwards through the field quickly.
7. Ask students: What do you observe? (Answer: A larger current.)
8. Move the wire downwards through the magnetic field slowly.
9. Ask students: What do you observe? (Answer: A small current – in the opposite direction to when the wire was moved upwards.)
10. Move the wire downwards through the field quickly.
11. Ask students: What do you observe? (Answer: A larger current – in the opposite direction to when the wire was moved upwards.)
12. Tell students: The effect being demonstrated is called electromagnetic induction . The wire is said to be ‘cutting’ through the magnetic field as it moves. The more magnetic field lines cut per second, the greater the voltage produced in the wire. So, moving the wire quickly produces a higher voltage.
13. Ask students: How do you think I could produce an even larger current? (Answer: Use stronger magnets to provide a stronger magnetic field.)
14. Ask students: What do you think would happen if I used a coil of wire instead of a single wire and why? (Answer: A larger current would be produced. This is because each loop of the wire would be cutting the magnetic field and producing a voltage.)
1. Open the Simulation: Electomagnetic induction .
2. You should see a screen with a coil of wire connected to a bulb and a movable magnet. Select the ‘Voltmeter’ and ‘Field Lines’ options so that your screen looks like the one below.
3. Tell students: I am going to show you a simulation of electromagnetic induction. A process which produces a voltage (and current) in a wire when the wire is moved relative to a magnetic field.
4. Click and hold o</t>
  </si>
  <si>
    <t>Transformers</t>
  </si>
  <si>
    <t>6.17P describe the structure of a transformer, and understand that a transformer changes the size of an alternating voltage by having different numbers of turns on the input and output sides
6.18P explain the use of step-up and step-down transformers in the large-scale generation and transmission of electrical energy</t>
  </si>
  <si>
    <t>Pages 212–214</t>
  </si>
  <si>
    <t>• demonstration transformer
• low voltage a.c. power supply
• low voltage d.c. power supply
• two a.c. voltmeters
• connecting leads</t>
  </si>
  <si>
    <t>• Do not produce output voltages above 12 V.</t>
  </si>
  <si>
    <t>Lesson 99 — Transformers
Specification Points:
6.17P describe the structure of a transformer, and understand that a transformer changes the size of an alternating voltage by having different numbers of turns on the input and output sides
6.18P explain the use of step-up and step-down transformers in the large-scale generation and transmission of electrical energy
Pages 212–214
Notes:
Do not produce output voltages above 12 V.</t>
  </si>
  <si>
    <t>• describe a transformer as a device that changes the size of an alternating voltage by having different numbers of turns on the input and output sides
• explain the use of step-up and step-down transformers in the large-scale generation and transmission of electrical energy.</t>
  </si>
  <si>
    <t>• national grid: a system that connects power stations and cities to distribute electrical power
• step-down transformer: a transformer that decreases voltage
• step-up transformer: a transformer that increases voltage
• transformer: a device designed to change the voltage of an a.c. supply</t>
  </si>
  <si>
    <t>1. Arrange the transformer as a step-up one – more turns on the output coil than the input coil.
2. Connect one voltmeter to the input coil and one to the output coil.
3. Connect the input coil to the a.c. power supply.
4. Ask students: Will the output voltage be greater than the input voltage, smaller than it or the same? (Answer: greater)
5. Turn the power supply on and test the predictions.
6. Turn off the power supply, disconnect it and then reconnect it to the other coil.
7. Ask students: Will the output voltage be greater than the input voltage, smaller than it or the same? (Answer: smaller)
8. Replace the power supply with a d.c. one.
9. Ask students: What will be the output voltage when I turn this supply on? (Answer: zero)
10. Turn on the supply and show that the output voltage is zero.
11. Ask students: Why is the output voltage zero? (Answer: There needs to be an alternating current to cause changing magnetic fields.)</t>
  </si>
  <si>
    <t>Transformer Calculations</t>
  </si>
  <si>
    <t>6.19P know and use the relationship between input (primary) and output (secondary) voltages and the turns ratio for a transformer:
 (input (primary) voltage)/(output (secondary) voltage)=(primary turns)/(secondary turns)
6.20P know and use the relationship: input power = output power, Vp Ip=Vs Is, for 100% efficiency</t>
  </si>
  <si>
    <t>Pages 212–213</t>
  </si>
  <si>
    <t>Lesson 100 — Transformer Calculations
Specification Points:
6.19P know and use the relationship between input (primary) and output (secondary) voltages and the turns ratio for a transformer:
 (input (primary) voltage)/(output (secondary) voltage)=(primary turns)/(secondary turns)
6.20P know and use the relationship: input power = output power, Vp Ip=Vs Is, for 100% efficiency
Pages 212–213</t>
  </si>
  <si>
    <t>• recall and use the relationship between input (primary) and output (secondary) voltages and the turns ratio for a transformer: \(\frac{\mathrm{input}\;(\mathrm{primary})\;\mathrm{voltage}}{\mathrm{output}\;(\mathrm{secondary})\;\mathrm{voltage}}=\frac{\mathrm{primary}\;\mathrm{turns}}{\mathrm{secondary}\;\mathrm{turns}}\)
• recall and use the relationship: input power = output power.</t>
  </si>
  <si>
    <t>• transformer equation: \(\frac{\mathrm{input}\;(\mathrm{primary})\;\mathrm{voltage}}{\mathrm{output}\;(\mathrm{secondary})\;\mathrm{voltage}}=\frac{\mathrm{primary}\;\mathrm{turns}}{\mathrm{secondary}\;\mathrm{turns}}\)
• transformer power equation: input power = output power or \(V_\mathrm pI_\mathrm p = V_\mathrm sI_\mathrm s\)</t>
  </si>
  <si>
    <t xml:space="preserve">The Structure of the Atom </t>
  </si>
  <si>
    <t>7.2 describe the structure of an atom in terms of protons, neutrons and electrons and use symbols such as         to describe particular nuclei
7.3 know the terms atomic (proton) number, mass (nucleon) number and isotope</t>
  </si>
  <si>
    <t>Pages 221–224</t>
  </si>
  <si>
    <t>Lesson 49 — The Structure of the Atom
Specification Points:
7.2 describe the structure of an atom in terms of protons, neutrons and electrons and use symbols such as         to describe particular nuclei
7.3 know the terms atomic (proton) number, mass (nucleon) number and isotope
Pages 221–224</t>
  </si>
  <si>
    <t>• describe the structure of the atom in terms of protons, neutrons and electrons
• understand and use \({}_Z^A\text{X}\) notation for describing a nucleus
• explain what is meant by an isotope of a particular element.</t>
  </si>
  <si>
    <t>• atomic number: number of protons
• isotope: atoms of the same element with different number of neutrons in the nucleus
• mass number: number of protons plus number of neutrons
• nucleon number: number of protons plus number of neutrons</t>
  </si>
  <si>
    <t xml:space="preserve">Radioactive Decay </t>
  </si>
  <si>
    <t>7.4 know that alpha (α) particles, beta (β−) particles, and gamma (γ) rays are ionising radiations emitted from unstable nuclei in a random process
7.5 describe the nature of alpha (α) particles, beta (β−) particles and gamma (γ) rays, and recall that they may be distinguished in terms of penetrating power and ability to ionise</t>
  </si>
  <si>
    <t>Pages 224–226</t>
  </si>
  <si>
    <t>Lesson 50 — Radioactive Decay
Specification Points:
7.4 know that alpha (α) particles, beta (β−) particles, and gamma (γ) rays are ionising radiations emitted from unstable nuclei in a random process
7.5 describe the nature of alpha (α) particles, beta (β−) particles and gamma (γ) rays, and recall that they may be distinguished in terms of penetrating power and ability to ionise
Pages 224–226</t>
  </si>
  <si>
    <t>• explain what an ion is and how it forms in the process of ionisation
• understand that radioactive decay is both a random and spontaneous process
• describe the nature of alpha (&amp;alpha;) particles, beta (&amp;beta;-) particles, and gamma (&amp;gamma;) rays.</t>
  </si>
  <si>
    <t>• alpha particle: two protons and two neutrons
• beta particle: electron from inside the nucleus
• gamma rays: a high energy electromagnetic wave
• ion: atom which has gained or lost electrons
• random: we cannot predict which nucleus will decay next, or when a particular nucleus will decay
• spontaneous: the decay of a nucleus cannot be influenced with any changes to conditions, for example, chemical reactions, temperature, pressure</t>
  </si>
  <si>
    <t xml:space="preserve">Properties of Radiation </t>
  </si>
  <si>
    <t>7.5 describe the nature of alpha (α) particles, beta (β−) particles and gamma (γ) rays, and recall that they may be distinguished in terms of penetrating power and ability to ionise
7.6 practical: investigate the penetration powers of different types of radiation using either radioactive sources or simulations</t>
  </si>
  <si>
    <t>Pages 224–226
Lab Book: Pages 48–50</t>
  </si>
  <si>
    <t>different radioactive sources
a sheet of paper
a sheet of aluminium (1–2 mm thick)
a thin sheet of lead
Geiger-Müller tube and counter
Note for guidance
Although some of the sources are listed as a single emitter, such as alpha particles
only, there may also be gamma
rays emitted in small amounts. You should remind students to consider this when you
are conducting your
investigation.</t>
  </si>
  <si>
    <t>• Sources should not be pointed towards the body or face.
• When not in use, radioactive sources should be kept in a locked lead-lined safe.</t>
  </si>
  <si>
    <t>Lesson 51 — Properties of Radiation
Specification Points:
7.5 describe the nature of alpha (α) particles, beta (β−) particles and gamma (γ) rays, and recall that they may be distinguished in terms of penetrating power and ability to ionise
7.6 practical: investigate the penetration powers of different types of radiation using either radioactive sources or simulations
Pages 224–226
Lab Book: Pages 48–50
Requisitions:
different radioactive sources
a sheet of paper
a sheet of aluminium (1–2 mm thick)
a thin sheet of lead
Geiger-Müller tube and counter
Note for guidance
Although some of the sources are listed as a single emitter, such as alpha particles
only, there may also be gamma
rays emitted in small amounts. You should remind students to consider this when you
are conducting your
investigation.
Notes:
All radioactive materials should be handled by a trained adult.</t>
  </si>
  <si>
    <t>• describe the nature of alpha (α) particles, beta (β-) particles, and gamma (γ) rays
• understand the penetration power of each type of radiation and relate this to their ability to ionise.</t>
  </si>
  <si>
    <t>• alpha particle (α): a positively charged particle consisting of two protons and two neutrons, emitted during radioactive decay
• beta particle (β⁻): a fast-moving electron emitted from the nucleus during radioactive decay
• gamma ray (γ): a high-energy electromagnetic wave emitted from the nucleus
• ionising power: the ability of radiation to remove electrons from atoms
• penetrating power: the ability of radiation to pass through materials</t>
  </si>
  <si>
    <t>1. Turn the Geiger–Müller (GM) tube to count and let it run for 3 minutes*. Ask a student to record the count in the table. *Note: If there isn’t enough time, you can let it run for 2 minutes instead of 3 and do the same for every subsequent reading.
2. Repeat Step 1 twice, record the results and ask students to find the average of the background radiation. This is the average background count rate.
3. Take an alpha particle source and set it at a distance of 4 cm from the GM tube.
4. Start the counter and record the count after 3 minutes. Ask a student to record your count in the table on the board.
5. Now place a sheet of paper between the source and the counter, 2 cm from the source.
6. Start the counter and record the count after 3 minutes. Ask a student to record your count in the table on the board.
7. Now take a beta particle source and set it at a distance of 4 cm from the GM tube.
8. Start the counter and record the count after 3 minutes. Ask a student to record your count in the table on the board.
9. Place a sheet of aluminium, approximately 1–2 mm thick, between the source and the counter, 2 cm from the source.
10. Start the counter and record the count after 3 minutes. Ask a student to record your count in the table on the board.
11. Take a gamma ray source and set it at a distance of 4 cm from the GM tube.
12. Start the counter and record the count after 3 minutes. Ask a student to record your count in the table on the board.
13. Place a thin sheet of lead between the source and the counter, 2 cm from the source.
14. Start the counter and record the count after 3 minutes. Ask a student to record your count in the table on the board.</t>
  </si>
  <si>
    <t>Nuclear Decay Equations</t>
  </si>
  <si>
    <t>7.7 describe the effects on the atomic and mass numbers of a nucleus of the emission of each of the four main types of radiation (alpha, beta, gamma and neutron radiation)
7.8 understand how to balance nuclear equations in terms of mass and charge</t>
  </si>
  <si>
    <t>Lesson 52 — Nuclear Decay Equations
Specification Points:
7.7 describe the effects on the atomic and mass numbers of a nucleus of the emission of each of the four main types of radiation (alpha, beta, gamma and neutron radiation)
7.8 understand how to balance nuclear equations in terms of mass and charge
Pages 227–230</t>
  </si>
  <si>
    <t>• balance nuclear equations in terms of mass and charge for alpha emission
• balance nuclear equations in terms of mass and charge for beta emission
• balance nuclear equations in terms of mass and charge for gamma emission.</t>
  </si>
  <si>
    <t>• alpha decay: the process through which an unstable nucleus becomes more stable by emitting an alpha particle
• beta decay: the process through which an unstable nucleus becomes more stable by emitting a beta particle
• gamma decay: the process through which an unstable nucleus becomes more stable by emitting a gamma ray</t>
  </si>
  <si>
    <t>Detecting and Measuring Radioactive Decay</t>
  </si>
  <si>
    <t>7.1 use the following units: becquerel (Bq), hour (h), minute (min) and second (s)
7.9 know that photographic film or a Geiger-Muller detector can detect ionising radiations
7.10 explain the sources of background (ionising) radiation from Earth and space
7.11 know that the activity of a radioactive source decreases over a period of time and is measured in becquerels</t>
  </si>
  <si>
    <t>Pages 233–237</t>
  </si>
  <si>
    <t>Lesson 53 — Detecting and Measuring Radioactive Decay
Specification Points:
7.1 use the following units: becquerel (Bq), hour (h), minute (min) and second (s)
7.9 know that photographic film or a Geiger-Muller detector can detect ionising radiations
7.10 explain the sources of background (ionising) radiation from Earth and space
7.11 know that the activity of a radioactive source decreases over a period of time and is measured in becquerels
Pages 233–237</t>
  </si>
  <si>
    <t>• state that photographic film or a Geiger&amp;minus;M&amp;uuml;ller detector can detect ionising radiation
• describe and explain background radiation
• state that the activity of a radioactive source decreases over time and is measured in becquerels.</t>
  </si>
  <si>
    <t>• activity: the number of decays per second, measured in becquerels
• background radiation: radiation around us all the time
• becquerel: unit of activity, 1 Bq = 1 decay per second</t>
  </si>
  <si>
    <t>Half-life</t>
  </si>
  <si>
    <t>7.12 know the definition of the term half-life and understand that it is different for different radioactive isotopes
7.13 use the concept of the half-life to carry out simple calculations on activity, including graphical methods</t>
  </si>
  <si>
    <t>Pages 237–239</t>
  </si>
  <si>
    <t>Lesson 54 — Half-life
Specification Points:
7.12 know the definition of the term half-life and understand that it is different for different radioactive isotopes
7.13 use the concept of the half-life to carry out simple calculations on activity, including graphical methods
Pages 237–239</t>
  </si>
  <si>
    <t>• understand and use the term half-life
• use the concept of the half-life to carry out simple calculations on activity.</t>
  </si>
  <si>
    <t>• half-life: the time taken for the number of radioactive nuclei (or activity) of a sample to halve
• radioactive decay: the random process by which an unstable nucleus emits radiation
• activity: the number of radioactive decays per second, measured in becquerels (Bq)</t>
  </si>
  <si>
    <t>Dangers of Radioactivity</t>
  </si>
  <si>
    <t>7.15 describe the difference between contamination and irradiation
7.16 describe the dangers of ionising radiations, including: 
• that radiation can cause mutations in living organisms 
• that radiation can damage cells and tissue 
• the problems arising from the disposal of radioactive waste and how the associated risks can be reduced</t>
  </si>
  <si>
    <t>Pages 243 and 247–248</t>
  </si>
  <si>
    <t>Lesson 55 — Dangers of Radioactivity
Specification Points:
7.15 describe the difference between contamination and irradiation
7.16 describe the dangers of ionising radiations, including: 
• that radiation can cause mutations in living organisms 
• that radiation can damage cells and tissue 
• the problems arising from the disposal of radioactive waste and how the associated risks can be reduced
Pages 243 and 247–248</t>
  </si>
  <si>
    <t>• to explain the danger of radiation to humans
• how the problems arising from the disposal of radioactive waste and the associated risks can be reduced.</t>
  </si>
  <si>
    <t>• contamination: unwanted presence of radioactive material
• irradiation: past exposure to radiation, does not emit radiation</t>
  </si>
  <si>
    <t>Uses of Radioactivity 1</t>
  </si>
  <si>
    <t>7.14 describe uses of radioactivity in industry and medicine</t>
  </si>
  <si>
    <t>Lesson 56 — Uses of Radioactivity 1
Specification Points:
7.14 describe uses of radioactivity in industry and medicine
Pages 243–246</t>
  </si>
  <si>
    <t>• describe uses of radioactivity in industry, such as thickness monitoring and tracers
• describe uses of radioactivity in medicine, such as diagnosis and treatment of cancer
• explain why specific types of radiation are chosen for different applications</t>
  </si>
  <si>
    <t>• carbon dating: a method for determining the age of something containing organic material using the half-life of carbon-14
• carbon-14: a radioactive isotope of carbon</t>
  </si>
  <si>
    <t>Uses of Radioactivity 2</t>
  </si>
  <si>
    <t>Pages 241–243</t>
  </si>
  <si>
    <t>Lesson 57 — Uses of Radioactivity 2
Specification Points:
7.14 describe uses of radioactivity in industry and medicine
Pages 241–243</t>
  </si>
  <si>
    <t>• describe and explain uses of radioactivity in medicine.</t>
  </si>
  <si>
    <t>• tracer: a radioactive substance introduced into a system to track the flow or movement of materials
• radiotherapy: the use of ionising radiation to destroy cancer cells
• sterilisation: the use of gamma radiation to kill bacteria on medical instruments or food</t>
  </si>
  <si>
    <t>Nuclear Fission</t>
  </si>
  <si>
    <t>7.17 know that nuclear reactions, including fission, fusion and radioactive decay, can be a source of energy
7.18 understand how a nucleus of U-235 can be split (the process of fission) by collision with a neutron, and that this process releases energy as kinetic energy of the fission products
7.19 know that the fission of U-235 produces two radioactive daughter nuclei and a small number of neutrons
7.20 describe how a chain reaction can be set up if the neutrons produced by one fission strike other U-235 nuclei</t>
  </si>
  <si>
    <t>Pages 250–253</t>
  </si>
  <si>
    <t>dominoes
tray</t>
  </si>
  <si>
    <t>• There are no safety concerns to consider for this practical.
• Students should work in small groups, from two to four students, to carry out the task. They should answer the worksheet questions in their exercise books as they work through the task. Worksheet 2 Answer sheet</t>
  </si>
  <si>
    <t>Lesson 106 — Nuclear Fission
Specification Points:
7.17 know that nuclear reactions, including fission, fusion and radioactive decay, can be a source of energy
7.18 understand how a nucleus of U-235 can be split (the process of fission) by collision with a neutron, and that this process releases energy as kinetic energy of the fission products
7.19 know that the fission of U-235 produces two radioactive daughter nuclei and a small number of neutrons
7.20 describe how a chain reaction can be set up if the neutrons produced by one fission strike other U-235 nuclei
Pages 250–253
Requisitions:
dominoes
tray</t>
  </si>
  <si>
    <t>• describe how a nucleus of U-235 can be split by absorption of a neutron, releasing energy as kinetic energy of the fission products and producing two radioactive daughter nuclei and a small number of neutrons
• describe how a chain reaction can be set up if the neutrons produced by one fission strike other U-235 nuclei.</t>
  </si>
  <si>
    <t>• chain reaction: occurs when the fission of one nucleus releases two or three neutrons which cause other nuclei to undergo fission
• daughter nuclei: two smaller nuclei formed as a result of nuclear fission
• fissile: a (large) nuclei which can undergo fission
• fission: splitting up of a large nucleus to form smaller nuclei</t>
  </si>
  <si>
    <t>1. Set up the dominoes as shown in set-up W, in the first diagram below. The distance between the dominoes should be about one-third of the height of the domino.
2. Push over the domino marked with an arrow. Note down what happens.
3. Repeat steps 1 and 2 for set-ups X, Y and Z.</t>
  </si>
  <si>
    <t>Fission Reactors</t>
  </si>
  <si>
    <t>7.17 know that nuclear reactions, including fission, fusion and radioactive decay, can be a source of energy
7.21 describe the role played by the control rods and moderator in the fission process
7.22 understand the role of shielding around a nuclear reactor</t>
  </si>
  <si>
    <t>Lesson 107 — Fission Reactors
Specification Points:
7.17 know that nuclear reactions, including fission, fusion and radioactive decay, can be a source of energy
7.21 describe the role played by the control rods and moderator in the fission process
7.22 understand the role of shielding around a nuclear reactor
Pages 250–253</t>
  </si>
  <si>
    <t>• describe the process of nuclear fission in a reactor
• explain the roles of control rods, moderator and shielding in a fission reactor
• understand that nuclear fission is a source of energy</t>
  </si>
  <si>
    <t>• control rods: rods made of boron or cadmium that control the rate of fission
• moderator: a material such as water or graphite which is used to slow down the neutrons</t>
  </si>
  <si>
    <t xml:space="preserve">Nuclear Fusion </t>
  </si>
  <si>
    <t>7.17 know that nuclear reactions, including fission, fusion and radioactive decay, can be a source of energy
7.23 explain the difference between nuclear fusion and nuclear fission
7.24 describe nuclear fusion as the creation of larger nuclei resulting in a loss of mass from smaller nuclei, accompanied by a release of energy</t>
  </si>
  <si>
    <t>Lesson 108 — Nuclear Fusion
Specification Points:
7.17 know that nuclear reactions, including fission, fusion and radioactive decay, can be a source of energy
7.23 explain the difference between nuclear fusion and nuclear fission
7.24 describe nuclear fusion as the creation of larger nuclei resulting in a loss of mass from smaller nuclei, accompanied by a release of energy
Pages 250–253</t>
  </si>
  <si>
    <t>• explain the difference between nuclear fusion and nuclear fission
• describe nuclear fusion as the joining of small nuclei to form larger nuclei with a loss of mass
• understand that fusion releases energy and is the energy source for stars</t>
  </si>
  <si>
    <t>• nuclear fusion: the joining of two small atomic nuclei to form a larger nucleus, releasing energy
• nuclear fission: the splitting of a large atomic nucleus into two smaller nuclei, releasing energy
• mass defect: the difference in mass between the reactants and products of a nuclear reaction
• plasma: an extremely hot gas in which atoms are stripped of their electrons</t>
  </si>
  <si>
    <t>Fusion Reactors and the Sun</t>
  </si>
  <si>
    <t>7.17 know that nuclear reactions, including fission, fusion and radioactive decay, can be a source of energy
7.25 know that fusion is the energy source for stars
7.26 explain why nuclear fusion does not happen at low temperatures and pressure, due to electrostatic repulsion of protons</t>
  </si>
  <si>
    <t>Pages 253–254</t>
  </si>
  <si>
    <t>Lesson 109 — Fusion Reactors and the Sun
Specification Points:
7.17 know that nuclear reactions, including fission, fusion and radioactive decay, can be a source of energy
7.25 know that fusion is the energy source for stars
7.26 explain why nuclear fusion does not happen at low temperatures and pressure, due to electrostatic repulsion of protons
Pages 253–254</t>
  </si>
  <si>
    <t>• explain the conditions necessary for nuclear fusion in stars/the Sun
• explain the challenges of designing the nuclear fusion reactor for a power station.</t>
  </si>
  <si>
    <t>• nuclear fusion: the joining of light nuclei to form heavier nuclei, releasing energy
• electrostatic repulsion: the force that pushes positively charged nuclei apart
• plasma: a state of matter at extremely high temperatures where electrons are separated from nuclei
• star: a massive body that generates energy through nuclear fusion</t>
  </si>
  <si>
    <t>Motion in the Universe</t>
  </si>
  <si>
    <t>8.1 use the following units: kilogram (kg), metre (m), newton (N), newton/kilogram (N/kg)
8.2 know that: 
• the universe is a large collection of billions of galaxies 
• a galaxy is a large collection of billions of stars 
• our solar system is in the Milky Way galaxy
8.3 understand why gravitational field strength, g, varies and know that it is different on other planets and the Moon from that on the Earth
8.4 explain that gravitational force: 
• causes moons to orbit planets 
• causes the planets to orbit the Sun 
• causes artificial satellites to orbit the Earth 
• causes comets to orbit the Sun</t>
  </si>
  <si>
    <t>Pages 259–266</t>
  </si>
  <si>
    <t>rubber bung on the end of a length of string
ball or coin to drop</t>
  </si>
  <si>
    <t>• Make sure that the space is safe to release the string.
• Do not spin the bung quickly or use a large one.</t>
  </si>
  <si>
    <t>Lesson 59 — Motion in the Universe
Specification Points:
8.1 use the following units: kilogram (kg), metre (m), newton (N), newton/kilogram (N/kg)
8.2 know that: 
• the universe is a large collection of billions of galaxies 
• a galaxy is a large collection of billions of stars 
• our solar system is in the Milky Way galaxy
8.3 understand why gravitational field strength, g, varies and know that it is different on other planets and the Moon from that on the Earth
8.4 explain that gravitational force: 
• causes moons to orbit planets 
• causes the planets to orbit the Sun 
• causes artificial satellites to orbit the Earth 
• causes comets to orbit the Sun
Pages 259–266
Requisitions:
rubber bung on the end of a length of string
ball or coin to drop
Notes:
Do not spin the bung quickly or use a large one.</t>
  </si>
  <si>
    <t>• describe some of the structure of the Universe:the Universe as a large collection of billions of galaxiesa galaxy is a large collection of billions of starsour Solar System is in the Milky Way galaxy
• the Universe as a large collection of billions of galaxies
• a galaxy is a large collection of billions of stars
• our Solar System is in the Milky Way galaxy
• explain why gravitational field strength,g, varies
• explain the effects of gravitational force on the Solar System
• state that gravitational force causes artificial satellites to orbit
 the
 Earth.</t>
  </si>
  <si>
    <t>• galaxy: a collection of billions of stars held together by gravitational forces
• moon: an object in orbit around a planet
• planet: a large, spherical, object in orbit around a star
• solar system: a star and the contents in orbit around it (planets, asteroids and comets)
• Universe: all the matter and energy in existence</t>
  </si>
  <si>
    <t>1. Show the image.
2. Tell students: When a massive ball is spun on a wire, the force towards the centre keeps it travelling in a circle until the wire breaks. In this demonstration I will be using a small bung, as using anything bigger would be unsafe in the classroom.
3. Twirl the bung above your head showing that it moves in a circle.
4. Describe the force acting on the bung, making sure that students understand that this is acting towards the centre of the circle.
5. If safe to do so, release the string to allow the bug to fly off in a straight line, away from any students.</t>
  </si>
  <si>
    <t>Orbital Motion</t>
  </si>
  <si>
    <t>8.1 use the following units: metre (m), metre/second (m/s),newton (N), second (s)
8.4 explain that gravitational force: 
• causes moons to orbit planets 
• causes the planets to orbit the Sun 
• causes artificial satellites to orbit the Earth 
• causes comets to orbit the Sun
8.5 describe the differences in the orbits of comets, moons and planets
8.6 use the relationship between orbital speed, orbital radius and time period:
orbital speed = 2 × π × orbital radius/time period</t>
  </si>
  <si>
    <t>1.5 m string
crocodile clip
eye protection
force meter
tube
rubber bungs with holes
stopwatch</t>
  </si>
  <si>
    <t>• Wear eye protection</t>
  </si>
  <si>
    <t>Lesson 60 — Orbital Motion
Specification Points:
8.1 use the following units: metre (m), metre/second (m/s),newton (N), second (s)
8.4 explain that gravitational force: 
• causes moons to orbit planets 
• causes the planets to orbit the Sun 
• causes artificial satellites to orbit the Earth 
• causes comets to orbit the Sun
8.5 describe the differences in the orbits of comets, moons and planets
8.6 use the relationship between orbital speed, orbital radius and time period:
orbital speed = 2 × π × orbital radius/time period
Pages 261–264
Requisitions:
1.5 m string
crocodile clip
eye protection
force meter
tube
rubber bungs with holes
stopwatch
Notes:
Wear eye protection</t>
  </si>
  <si>
    <t>• describe how gravitational forces cause comets to orbit the Sun in elliptical paths
• describe the differences in the orbits of comets, moons and planets
• use the relationship between orbital speed, orbital radius and time period for planetary orbits.</t>
  </si>
  <si>
    <t>• comet: a ball of ice and rock which orbits the Sun in an elliptical orbit
• elliptical orbit: an orbit which is like a squashed circle
• heliocentric: a model of the Solar System which places the Sun at the centre with the planets in orbit around it</t>
  </si>
  <si>
    <t>1. You will need to work in a group of three. Set up the apparatus as shown in the diagram.
2. Lay out the string so that 0.5 m of string is sticking out of the top of the tube. (This is the radius of the circle.) Put the crocodile clip on the string a couple of centimetres below the tube.
3. One person holds the tube and swings the rubber bung around their head. A second person holds the force meter down so that the crocodile clip stays just below the bottom of the tube. A third person measures the time for 10 complete circles. Record the force and the time in a table.
4. Tie another bung to the end of the string and repeat step 3. You need to take the same time for 10 circles as before. Keep trying until the time is the same.
5. Start again with just one bung on the string. This time spin it faster so it takes half the time to complete 10 circles.
6. Adjust the string and the crocodile clip so that 1 m is sticking out of the top of the tube. Swing it again, but this time swing it more slowly so it takes twice as long as in step 3 to complete 10 circles.</t>
  </si>
  <si>
    <t>Life Cycle of a Star</t>
  </si>
  <si>
    <t>8.9 describe the evolution of stars of similar mass to the Sun through the following stages:
• nebula
• star (main sequence)
• red giant
• white dwarf
8.10 describe the evolution of stars with a mass larger than the Sun</t>
  </si>
  <si>
    <t>Pages 268–269</t>
  </si>
  <si>
    <t>Lesson 61 — Life Cycle of a Star
Specification Points:
8.9 describe the evolution of stars of similar mass to the Sun through the following stages:
• nebula
• star (main sequence)
• red giant
• white dwarf
8.10 describe the evolution of stars with a mass larger than the Sun
Pages 268–269</t>
  </si>
  <si>
    <t>• describe the evolution of stars of similar mass to the Sun through the stages of nebula, star (main sequence), red giant and white dwarf
• describe the evolution of stars with a mass larger than the Sun.</t>
  </si>
  <si>
    <t>• black hole: the remains of the largest stars where light cannot escape
• main sequence: the part of the life cycle of a star where it is stable
• nebula: a cloud of gases and dust
• neutron star: the remains of some supernova explosions, composed of only neutrons
• protostar: a hot ball of gas which will evolve into a star
• red giant: a large mass star with a low surface temperature
• red supergiant: a very large mass star with a low surface temperature
• supernova: the explosion of a very large star
• white dwarf: the remains of the core of a star which are at a very high temperature</t>
  </si>
  <si>
    <t>Classifying Stars</t>
  </si>
  <si>
    <t>5.17 describe the Kelvin scale of temperature and be able to convert between the Kelvin and Celsius scales
8.7 understand how stars can be classified according to their colour
8.8 know that a star's colour is related to its surface temperature</t>
  </si>
  <si>
    <t>Pages 266–267</t>
  </si>
  <si>
    <t>power supply
6 V lamp connecting leads
variable resistor ammeter</t>
  </si>
  <si>
    <t>• The lamp will become very hot – do not allow the students to touch it.
• Do not let the students stare into the bright light.</t>
  </si>
  <si>
    <t>Lesson 62 — Classifying Stars
Specification Points:
5.17 describe the Kelvin scale of temperature and be able to convert between the Kelvin and Celsius scales
8.7 understand how stars can be classified according to their colour
8.8 know that a star's colour is related to its surface temperature
Pages 266–267
Requisitions:
power supply
6 V lamp connecting leads
variable resistor ammeter
Notes:
The lamp will become very hot – do not allow the students to touch it.
Do not let the students stare into the bright light.
Take care with electrical equipment. Do not connect circuits to mains. Switch off power before changing connections.</t>
  </si>
  <si>
    <t>• describe how stars are classified based on their colour
• discuss how a star’s temperature affects its colour
• convert between the degree Celsius and Kelvin scales.</t>
  </si>
  <si>
    <t>• Kelvin scale: a temperature scale used by scientists based on the behaviour of matter, the symbol used is K and the lowest possible temperature is 0 K
• stellar classification: a system of classifying stars by their colour or temperature</t>
  </si>
  <si>
    <t>1. Connect the power supply, variable resistor, ammeter and lamp in series.
2. Do not turn on the power supply but set if at the voltage of the lamp (6 V or 12 V).
3. Set the variable resistor to high resistance to limit the current in the circuit.
4. Turn on the circuit and show there is a current with the ammeter.
5. Gradually increase the current by reducing the resistance of the variable resistor until the filament is just glowing – this should be red.
6. Increase the current; the brightness of the glow should increase. The colour of the glow should turn more orange.
7. Continue this procedure, showing that the light becomes yellow, then white and becomes brighter as the temperature of the filament increases.</t>
  </si>
  <si>
    <t>The Hertzsprung–Russell Diagram</t>
  </si>
  <si>
    <t>8.11P understand how the brightness of a star at a standard distance can be represented using absolute magnitude
8.12P draw the main components of the Hertzsprung–Russell diagram (HR diagram)</t>
  </si>
  <si>
    <t>Pages 267–269</t>
  </si>
  <si>
    <t>A set of torches each with a different brightness.</t>
  </si>
  <si>
    <t>• Do not shine bright lights into anybody’s eye.</t>
  </si>
  <si>
    <t>Lesson 63 — The Hertzsprung–Russell Diagram
Specification Points:
8.11P understand how the brightness of a star at a standard distance can be represented using absolute magnitude
8.12P draw the main components of the Hertzsprung–Russell diagram (HR diagram)
Pages 267–269
Requisitions:
A set of torches each with a different brightness.
Notes:
Do not shine bright lights into anybody’s eye.</t>
  </si>
  <si>
    <t>• describe how the brightness of a star at a standard distance can be represented using absolute magnitude
• draw the main components of the Hertzsprung-Russell diagram (HR diagram).</t>
  </si>
  <si>
    <t>• absolute magnitude: a measure of how bright a star really is, as measured from a standard distance, the smaller the magnitude the brighter the star is
• apparent magnitude: a measure of how bright a star appears from Earth, the smaller the magnitude the brighter the star is
• Hertzsprung-Russell diagram: a diagram comparing the magnitude of a star to its temperature
• luminosity: a measure of the brightness of a light source, higher luminosity is brighter</t>
  </si>
  <si>
    <t>1. Darken the room as much as possible, but not so much that students can’t see you.
2. Show students two of the torches, a bright one and a dimmer one, and turn them on.
3. Place the torches at different distances and show that, if the brighter (more luminous) torch is further away, they can appear to be equally bright.
4. Place three torches of different brightnesses at the same distances from the students.</t>
  </si>
  <si>
    <t xml:space="preserve">Introducing Red-Shift </t>
  </si>
  <si>
    <t>8.15P describe that if a wave source is moving relative to an observer there will be a change in the observed frequency and wavelength
8.17P describe the red-shift in light received from galaxies at different distances away from the Earth</t>
  </si>
  <si>
    <t>Pages 271–273</t>
  </si>
  <si>
    <t>gas discharge tube apparatus and/or sodium lamp
filament lamp
diffraction grating</t>
  </si>
  <si>
    <t>• Gas discharge tubes are fragile; handle with care.</t>
  </si>
  <si>
    <t>Lesson 103 — Introducing Red-Shift
Specification Points:
8.15P describe that if a wave source is moving relative to an observer there will be a change in the observed frequency and wavelength
8.17P describe the red-shift in light received from galaxies at different distances away from the Earth
Pages 271–273
Requisitions:
gas discharge tube apparatus and/or sodium lamp
filament lamp
diffraction grating
Notes:
Gas discharge tubes are fragile; handle with care.</t>
  </si>
  <si>
    <t>• describe that if a wave source is moving relative to an observer there will be a change in the observed frequency and wavelength
• state that there is a red-shift in light received from distant galaxies.</t>
  </si>
  <si>
    <t>• absorption spectrum: a spectrum with gaps at specific wavelengths caused by absorption by specific elements
• continuous spectrum: a spectrum containing all wavelengths (colours)
• Doppler effect:&amp;nbsp;the change in frequency (and wavelength) caused by the relative movement of the source of the waves or the observer
• emission spectrum: a spectrum with only specific wavelengths emitted by specific elements
• red-shift: increase in wavelength of light emitted by a galaxy moving away from us</t>
  </si>
  <si>
    <t>1. Show students a white filament lamp operating by shining the light onto a whiteboard, wall or screen.
2. Tell students: This filament lamp produces a continuous spectrum – one which contains all the wavelengths of visible light. Stars also produce continuous spectra as do galaxies which contain billions of stars.
3. Use the diffraction grating to produce a spectrum on the wall. This will just involve placing the grating next to the lamp and adjusting its angle until a spectrum can be seen – similar to a prism.
4. Demonstrate the sodium lamp and/or the gas discharge lamps in a similar way. Turn them on and discuss why they are different colours.
5. Tell students: These lamps produce very specific colour patterns, each unique to the element inside the tube. These are emission spectra .
6. Use the diffraction grating to show students that, instead of a continuous spectrum, the light can be split only into a set of fine lines.
7. Tell students: Each pattern of wavelengths can be used to identify the element being heated in the lamps.</t>
  </si>
  <si>
    <t xml:space="preserve">The Red-Shift Equation </t>
  </si>
  <si>
    <t>8.1 use the following units: metre (m), metre/second (m/s) and second (s)
8.16P use the equation relating change in wavelength, wavelength, velocity of a galaxy and the speed of light: change in wavelength/reference wavelength = velocity of a galaxy/speed of light
8.17P describe the red-shift in light received from galaxies at different distances away from the Earth
8.18P explain why the red-shift of galaxies provides evidence for the expansion of the universe</t>
  </si>
  <si>
    <t>uninflated spherical balloon
marker pen (to draw the galaxies on the balloon)
balloon pump (or you can blow into the balloon)</t>
  </si>
  <si>
    <t>• Don’t burst the balloon.</t>
  </si>
  <si>
    <t>Lesson 104 — The Red-Shift Equation
Specification Points:
8.1 use the following units: metre (m), metre/second (m/s) and second (s)
8.16P use the equation relating change in wavelength, wavelength, velocity of a galaxy and the speed of light: change in wavelength/reference wavelength = velocity of a galaxy/speed of light
8.17P describe the red-shift in light received from galaxies at different distances away from the Earth
8.18P explain why the red-shift of galaxies provides evidence for the expansion of the universe
Pages 271–273
Requisitions:
uninflated spherical balloon
marker pen (to draw the galaxies on the balloon)
balloon pump (or you can blow into the balloon)</t>
  </si>
  <si>
    <t>• use the equation relating change in wavelength, original wavelength, velocity of a galaxy and the speed of light:\(\;\mathrm{\frac{change\;in\;wavelength}{wavelength}}=\mathrm{\frac{velocity\;of\;galaxy}{speed\;of\;light}}\)
• describe the red-shift in light received from galaxies at different distances away from the Earth and explain why the red-shift of galaxies provides evidence for the expansion of the Universe. Slideshow: Learning objectives</t>
  </si>
  <si>
    <t>• Doppler shift equation: \(\mathrm{\frac{change\;in\;wavelength}{wavelength}}=\mathrm{\frac{velocity\;of\;galaxy}{speed\;of\;light}}\) or \(\frac{\lambda-\lambda_\circ}{\lambda_\circ}=\frac{\triangle\lambda}{\lambda_\circ}=\frac vc\)
• recessional velocity: the velocity at which a galaxy is moving away from us</t>
  </si>
  <si>
    <t>1. Before the lesson, draw a simple set of galaxies onto the surface of a balloon (use the Slideshow: Expanding space as a guide).
2. Show students the uninflated balloon and tell them: This balloon has images of galaxies on it. I am going to use it to model the inflation of the Universe.
3. Ask them: What does the surface of the balloon represent? (Answer: Space)
4. Inflate the balloon slightly.
5. Tell students: When I inflate the balloon, the surface, which represents space, stretches.
6. Ask them: What does this do to the galaxies? (Answer: They become further apart)
7. Inflate the balloon more and then tell students: The galaxies have spread further apart. Notice that they are all moving further apart from each other. They are not spreading away from one particular point on the surface.
8. Move on to discuss the strengths and weaknesses of the model.
9. Ask students: What are the good points of this model? (Answer: It shows that all the galaxies are moving away from each other. There is no ‘centre’ for the expansion.)</t>
  </si>
  <si>
    <t xml:space="preserve">The Big Bang </t>
  </si>
  <si>
    <t>8.13P describe the past revolution of the universe and the main arguments in favour of the Big Bang theory
8.14P describe evidence that supports the Big Bang theory (red-shift and cosmic microwave background (CMB) radiation)</t>
  </si>
  <si>
    <t>Pages 271–274</t>
  </si>
  <si>
    <t>Lesson 105 — The Big Bang
Specification Points:
8.13P describe the past revolution of the universe and the main arguments in favour of the Big Bang theory
8.14P describe evidence that supports the Big Bang theory (red-shift and cosmic microwave background (CMB) radiation)
Pages 271–274</t>
  </si>
  <si>
    <t>• describe the past evolution of the Universe and the evidence that supports the Big Bang theory (red-shift and cosmic microwave background (CMB) radiation).</t>
  </si>
  <si>
    <t>• Big Bang theory: the theory that the universe began from a single point in a massive explosion and has been expanding ever since
• red shift: the increase in wavelength of light from distant galaxies, providing evidence that the universe is expanding
• cosmic microwave background radiation (CMB): low-energy radiation left over from the early universe, providing evidence for the Big Bang</t>
  </si>
  <si>
    <t>Test 8</t>
  </si>
  <si>
    <t>All except</t>
  </si>
  <si>
    <t>Making test</t>
  </si>
  <si>
    <t>Test</t>
  </si>
  <si>
    <t>Start</t>
  </si>
  <si>
    <t>End</t>
  </si>
  <si>
    <t>All up to L8</t>
  </si>
  <si>
    <t>CBL (complete)</t>
  </si>
  <si>
    <t>LBW (complete)</t>
  </si>
  <si>
    <t>Biology</t>
  </si>
  <si>
    <t>Chemistry</t>
  </si>
  <si>
    <t>Physics</t>
  </si>
  <si>
    <t>Double and single Award Biology</t>
  </si>
  <si>
    <t>Double and single Award Chemistry</t>
  </si>
  <si>
    <t>Double and single Award Physics</t>
  </si>
  <si>
    <t>Test 6 - Mocks</t>
  </si>
  <si>
    <t>Test 6 - Mock</t>
  </si>
  <si>
    <t>Test - Mock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</si>
</sst>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scheme val="minor"/>
    </font>
    <font>
      <b/>
      <sz val="20"/>
      <color theme="1"/>
      <name val="Calibri"/>
      <family val="2"/>
    </font>
    <font>
      <b/>
      <sz val="16"/>
      <color rgb="FF000000"/>
      <name val="Arial"/>
      <family val="2"/>
    </font>
    <font>
      <sz val="16"/>
      <color rgb="FF000000"/>
      <name val="Arial"/>
      <family val="2"/>
    </font>
    <font>
      <sz val="20"/>
      <color theme="1"/>
      <name val="Calibri"/>
      <family val="2"/>
    </font>
    <font>
      <u/>
      <sz val="10"/>
      <color rgb="FF0000FF"/>
      <name val="Arial"/>
      <family val="2"/>
    </font>
    <font>
      <sz val="10"/>
      <color rgb="FF000000"/>
      <name val="Arial"/>
      <family val="2"/>
    </font>
    <font>
      <sz val="10"/>
      <color theme="1"/>
      <name val="Arial"/>
      <family val="2"/>
    </font>
    <font>
      <sz val="10"/>
      <color rgb="FF000000"/>
      <name val="Calibri"/>
      <family val="2"/>
    </font>
    <font>
      <u/>
      <sz val="10"/>
      <color rgb="FF000000"/>
      <name val="Calibri"/>
      <family val="2"/>
    </font>
    <font>
      <u/>
      <sz val="10"/>
      <color rgb="FF0563C1"/>
      <name val="Arial"/>
      <family val="2"/>
    </font>
    <font>
      <sz val="11"/>
      <color rgb="FF000000"/>
      <name val="Arial"/>
      <family val="2"/>
    </font>
    <font>
      <b/>
      <sz val="10"/>
      <color theme="1"/>
      <name val="Arial"/>
      <family val="2"/>
    </font>
    <font>
      <b/>
      <sz val="10"/>
      <color rgb="FF000000"/>
      <name val="Arial"/>
      <family val="2"/>
    </font>
    <font>
      <u/>
      <sz val="10"/>
      <color rgb="FF000000"/>
      <name val="Arial"/>
      <family val="2"/>
    </font>
    <font>
      <sz val="11"/>
      <color theme="1"/>
      <name val="Calibri"/>
      <family val="2"/>
    </font>
    <font>
      <b/>
      <sz val="19"/>
      <color theme="1"/>
      <name val="Calibri"/>
      <family val="2"/>
      <scheme val="minor"/>
    </font>
    <font>
      <b/>
      <sz val="19"/>
      <color rgb="FF000000"/>
      <name val="Calibri"/>
      <family val="2"/>
      <scheme val="minor"/>
    </font>
    <font>
      <sz val="72"/>
      <color theme="1"/>
      <name val="Calibri"/>
      <family val="2"/>
    </font>
    <font>
      <sz val="11"/>
      <color theme="1"/>
      <name val="Calibri"/>
      <family val="2"/>
      <scheme val="minor"/>
    </font>
    <font>
      <b/>
      <sz val="11"/>
      <color theme="1"/>
      <name val="Calibri"/>
      <family val="2"/>
    </font>
    <font>
      <b/>
      <sz val="11"/>
      <color rgb="FF000000"/>
      <name val="Arial"/>
      <family val="2"/>
    </font>
    <font>
      <i/>
      <sz val="11"/>
      <color rgb="FF000000"/>
      <name val="Arial"/>
      <family val="2"/>
    </font>
    <font>
      <sz val="16"/>
      <color theme="1"/>
      <name val="Calibri"/>
      <family val="2"/>
    </font>
    <font>
      <u/>
      <sz val="16"/>
      <color rgb="FF000000"/>
      <name val="Arial"/>
      <family val="2"/>
    </font>
    <font>
      <sz val="8"/>
      <color rgb="FF000000"/>
      <name val="Arial"/>
      <family val="2"/>
    </font>
    <font>
      <sz val="10"/>
      <color rgb="FF0563C1"/>
      <name val="Arial"/>
      <family val="2"/>
    </font>
    <font>
      <u/>
      <sz val="10"/>
      <color rgb="FF0000FF"/>
      <name val="Calibri"/>
      <family val="2"/>
    </font>
    <font>
      <sz val="11"/>
      <color theme="1"/>
      <name val="Arial"/>
      <family val="2"/>
    </font>
    <font>
      <u/>
      <sz val="11"/>
      <color theme="10"/>
      <name val="Calibri"/>
      <family val="2"/>
      <scheme val="minor"/>
    </font>
    <font>
      <sz val="11"/>
      <color theme="1"/>
      <name val="Aptos Narrow"/>
      <family val="2"/>
    </font>
    <font>
      <sz val="11"/>
      <color theme="1"/>
      <name val="Arial"/>
      <family val="2"/>
    </font>
    <font>
      <sz val="11"/>
      <color rgb="FFFFFFFF"/>
      <name val="Arial"/>
      <family val="2"/>
    </font>
    <font>
      <sz val="11"/>
      <color rgb="FF467886"/>
      <name val="Arial"/>
      <family val="2"/>
    </font>
  </fonts>
  <fills count="25">
    <fill>
      <patternFill patternType="none"/>
    </fill>
    <fill>
      <patternFill patternType="gray125"/>
    </fill>
    <fill>
      <patternFill patternType="solid">
        <fgColor rgb="FFF4B083"/>
        <bgColor rgb="FFF4B083"/>
      </patternFill>
    </fill>
    <fill>
      <patternFill patternType="solid">
        <fgColor rgb="FFF4B084"/>
        <bgColor rgb="FFF4B084"/>
      </patternFill>
    </fill>
    <fill>
      <patternFill patternType="solid">
        <fgColor rgb="FFE6B8AF"/>
        <bgColor rgb="FFE6B8AF"/>
      </patternFill>
    </fill>
    <fill>
      <patternFill patternType="solid">
        <fgColor rgb="FFDEEAF6"/>
        <bgColor rgb="FFDEEAF6"/>
      </patternFill>
    </fill>
    <fill>
      <patternFill patternType="solid">
        <fgColor rgb="FFFBE4D5"/>
        <bgColor rgb="FFFBE4D5"/>
      </patternFill>
    </fill>
    <fill>
      <patternFill patternType="solid">
        <fgColor rgb="FFFCE5CD"/>
        <bgColor rgb="FFFCE5CD"/>
      </patternFill>
    </fill>
    <fill>
      <patternFill patternType="solid">
        <fgColor rgb="FFD5A6BD"/>
        <bgColor rgb="FFD5A6BD"/>
      </patternFill>
    </fill>
    <fill>
      <patternFill patternType="solid">
        <fgColor rgb="FFE2EFD9"/>
        <bgColor rgb="FFE2EFD9"/>
      </patternFill>
    </fill>
    <fill>
      <patternFill patternType="solid">
        <fgColor rgb="FFFEF2CB"/>
        <bgColor rgb="FFFEF2CB"/>
      </patternFill>
    </fill>
    <fill>
      <patternFill patternType="solid">
        <fgColor rgb="FFD9E2F3"/>
        <bgColor rgb="FFD9E2F3"/>
      </patternFill>
    </fill>
    <fill>
      <patternFill patternType="solid">
        <fgColor rgb="FFE06666"/>
        <bgColor rgb="FFE06666"/>
      </patternFill>
    </fill>
    <fill>
      <patternFill patternType="solid">
        <fgColor rgb="FFEAD1DC"/>
        <bgColor rgb="FFEAD1DC"/>
      </patternFill>
    </fill>
    <fill>
      <patternFill patternType="solid">
        <fgColor rgb="FFFFFFFF"/>
        <bgColor rgb="FFFFFFFF"/>
      </patternFill>
    </fill>
    <fill>
      <patternFill patternType="solid">
        <fgColor rgb="FFD6BBEB"/>
        <bgColor rgb="FFD6BBEB"/>
      </patternFill>
    </fill>
    <fill>
      <patternFill patternType="solid">
        <fgColor rgb="FFD9F2D0"/>
        <bgColor indexed="64"/>
      </patternFill>
    </fill>
    <fill>
      <patternFill patternType="solid">
        <fgColor rgb="FFFAE2D5"/>
        <bgColor indexed="64"/>
      </patternFill>
    </fill>
    <fill>
      <patternFill patternType="solid">
        <fgColor rgb="FF8ED873"/>
        <bgColor indexed="64"/>
      </patternFill>
    </fill>
    <fill>
      <patternFill patternType="solid">
        <fgColor rgb="FFF1A983"/>
        <bgColor indexed="64"/>
      </patternFill>
    </fill>
    <fill>
      <patternFill patternType="solid">
        <fgColor rgb="FFD5A6BD"/>
        <bgColor indexed="64"/>
      </patternFill>
    </fill>
    <fill>
      <patternFill patternType="solid">
        <fgColor rgb="FFC27BA0"/>
        <bgColor indexed="64"/>
      </patternFill>
    </fill>
    <fill>
      <patternFill patternType="solid">
        <fgColor rgb="FFC9DAF8"/>
        <bgColor indexed="64"/>
      </patternFill>
    </fill>
    <fill>
      <patternFill patternType="solid">
        <fgColor rgb="FF6D9EEB"/>
        <bgColor indexed="64"/>
      </patternFill>
    </fill>
    <fill>
      <patternFill patternType="solid">
        <fgColor rgb="FFFFFF00"/>
        <bgColor indexed="64"/>
      </patternFill>
    </fill>
  </fills>
  <borders count="31">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bottom/>
      <diagonal/>
    </border>
    <border>
      <left/>
      <right/>
      <top/>
      <bottom/>
      <diagonal/>
    </border>
    <border>
      <left style="thin">
        <color rgb="FF000000"/>
      </left>
      <right/>
      <top/>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CCCCCC"/>
      </bottom>
      <diagonal/>
    </border>
    <border>
      <left style="thin">
        <color rgb="FFCCCCCC"/>
      </left>
      <right/>
      <top style="thin">
        <color rgb="FF000000"/>
      </top>
      <bottom style="thin">
        <color rgb="FF000000"/>
      </bottom>
      <diagonal/>
    </border>
    <border>
      <left style="thin">
        <color rgb="FFCCCCCC"/>
      </left>
      <right style="thin">
        <color rgb="FFCCCCCC"/>
      </right>
      <top style="thin">
        <color rgb="FF000000"/>
      </top>
      <bottom style="thin">
        <color rgb="FFCCCCCC"/>
      </bottom>
      <diagonal/>
    </border>
    <border>
      <left style="thin">
        <color rgb="FFCCCCCC"/>
      </left>
      <right style="thin">
        <color rgb="FF000000"/>
      </right>
      <top style="thin">
        <color rgb="FF000000"/>
      </top>
      <bottom style="thin">
        <color rgb="FFCCCCCC"/>
      </bottom>
      <diagonal/>
    </border>
    <border>
      <left style="thin">
        <color rgb="FF000000"/>
      </left>
      <right style="thin">
        <color rgb="FF000000"/>
      </right>
      <top style="thin">
        <color rgb="FFCCCCCC"/>
      </top>
      <bottom style="thin">
        <color rgb="FFCCCCCC"/>
      </bottom>
      <diagonal/>
    </border>
    <border>
      <left style="thin">
        <color rgb="FFCCCCCC"/>
      </left>
      <right style="thin">
        <color rgb="FF000000"/>
      </right>
      <top style="thin">
        <color rgb="FFCCCCCC"/>
      </top>
      <bottom style="thin">
        <color rgb="FF000000"/>
      </bottom>
      <diagonal/>
    </border>
    <border>
      <left style="thin">
        <color rgb="FFCCCCCC"/>
      </left>
      <right style="thin">
        <color rgb="FFCCCCCC"/>
      </right>
      <top style="thin">
        <color rgb="FFCCCCCC"/>
      </top>
      <bottom style="thin">
        <color rgb="FFCCCCCC"/>
      </bottom>
      <diagonal/>
    </border>
    <border>
      <left style="thin">
        <color rgb="FFCCCCCC"/>
      </left>
      <right style="thin">
        <color rgb="FF000000"/>
      </right>
      <top style="thin">
        <color rgb="FFCCCCCC"/>
      </top>
      <bottom style="thin">
        <color rgb="FFCCCCCC"/>
      </bottom>
      <diagonal/>
    </border>
    <border>
      <left style="thin">
        <color rgb="FF000000"/>
      </left>
      <right style="thin">
        <color rgb="FF000000"/>
      </right>
      <top style="thin">
        <color rgb="FFCCCCCC"/>
      </top>
      <bottom style="thin">
        <color rgb="FF000000"/>
      </bottom>
      <diagonal/>
    </border>
    <border>
      <left style="thin">
        <color rgb="FFCCCCCC"/>
      </left>
      <right style="thin">
        <color rgb="FFCCCCCC"/>
      </right>
      <top style="thin">
        <color rgb="FFCCCCCC"/>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2">
    <xf numFmtId="0" fontId="0" fillId="0" borderId="13"/>
    <xf numFmtId="0" fontId="29" fillId="0" borderId="13"/>
  </cellStyleXfs>
  <cellXfs count="264">
    <xf numFmtId="0" fontId="0" fillId="0" borderId="0" xfId="0" applyBorder="1"/>
    <xf numFmtId="0" fontId="1" fillId="2" borderId="1" xfId="0" applyFont="1" applyFill="1" applyBorder="1" applyAlignment="1">
      <alignment horizontal="center" vertical="center" textRotation="90"/>
    </xf>
    <xf numFmtId="0" fontId="2" fillId="3"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6" fillId="6" borderId="1" xfId="0" applyFont="1" applyFill="1" applyBorder="1" applyAlignment="1">
      <alignment horizontal="left" vertical="top" wrapText="1"/>
    </xf>
    <xf numFmtId="0" fontId="6" fillId="6" borderId="2" xfId="0" applyFont="1" applyFill="1" applyBorder="1" applyAlignment="1">
      <alignment vertical="top" wrapText="1"/>
    </xf>
    <xf numFmtId="0" fontId="6" fillId="6" borderId="1" xfId="0" applyFont="1" applyFill="1" applyBorder="1" applyAlignment="1">
      <alignment vertical="top" wrapText="1"/>
    </xf>
    <xf numFmtId="0" fontId="6" fillId="4" borderId="1" xfId="0" applyFont="1" applyFill="1" applyBorder="1" applyAlignment="1">
      <alignment horizontal="left" vertical="top" wrapText="1"/>
    </xf>
    <xf numFmtId="0" fontId="6" fillId="6"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7" fillId="6" borderId="2" xfId="0" applyFont="1" applyFill="1" applyBorder="1" applyAlignment="1">
      <alignment horizontal="left" vertical="top" wrapText="1"/>
    </xf>
    <xf numFmtId="0" fontId="8" fillId="4" borderId="1" xfId="0" applyFont="1" applyFill="1" applyBorder="1" applyAlignment="1">
      <alignment horizontal="left" vertical="top" wrapText="1"/>
    </xf>
    <xf numFmtId="0" fontId="9" fillId="4" borderId="1" xfId="0" applyFont="1" applyFill="1" applyBorder="1" applyAlignment="1">
      <alignment horizontal="left" vertical="top" wrapText="1"/>
    </xf>
    <xf numFmtId="0" fontId="7" fillId="6" borderId="6" xfId="0" applyFont="1" applyFill="1" applyBorder="1" applyAlignment="1">
      <alignment horizontal="left" vertical="top" wrapText="1"/>
    </xf>
    <xf numFmtId="0" fontId="10" fillId="4" borderId="1" xfId="0" applyFont="1" applyFill="1" applyBorder="1" applyAlignment="1">
      <alignment horizontal="left" vertical="top" wrapText="1"/>
    </xf>
    <xf numFmtId="0" fontId="7" fillId="6" borderId="8" xfId="0" applyFont="1" applyFill="1" applyBorder="1" applyAlignment="1">
      <alignment horizontal="left" vertical="top" wrapText="1"/>
    </xf>
    <xf numFmtId="0" fontId="6" fillId="4" borderId="1" xfId="0" applyFont="1" applyFill="1" applyBorder="1" applyAlignment="1">
      <alignment horizontal="left" vertical="top"/>
    </xf>
    <xf numFmtId="0" fontId="7" fillId="6" borderId="9" xfId="0" applyFont="1" applyFill="1" applyBorder="1" applyAlignment="1">
      <alignment horizontal="left" vertical="top" wrapText="1"/>
    </xf>
    <xf numFmtId="0" fontId="7" fillId="9" borderId="1" xfId="0" applyFont="1" applyFill="1" applyBorder="1" applyAlignment="1">
      <alignment horizontal="left" vertical="top" wrapText="1"/>
    </xf>
    <xf numFmtId="0" fontId="7" fillId="9" borderId="2" xfId="0" applyFont="1" applyFill="1" applyBorder="1" applyAlignment="1">
      <alignment horizontal="left" vertical="top" wrapText="1"/>
    </xf>
    <xf numFmtId="0" fontId="12" fillId="9" borderId="2" xfId="0" applyFont="1" applyFill="1" applyBorder="1" applyAlignment="1">
      <alignment horizontal="left" vertical="top" wrapText="1"/>
    </xf>
    <xf numFmtId="0" fontId="6" fillId="9" borderId="1" xfId="0" applyFont="1" applyFill="1" applyBorder="1" applyAlignment="1">
      <alignment horizontal="left" vertical="top" wrapText="1"/>
    </xf>
    <xf numFmtId="0" fontId="6" fillId="9" borderId="2" xfId="0" applyFont="1" applyFill="1" applyBorder="1" applyAlignment="1">
      <alignment horizontal="left" vertical="top" wrapText="1"/>
    </xf>
    <xf numFmtId="0" fontId="13" fillId="9" borderId="2" xfId="0" applyFont="1" applyFill="1" applyBorder="1" applyAlignment="1">
      <alignment horizontal="left" vertical="top" wrapText="1"/>
    </xf>
    <xf numFmtId="0" fontId="7" fillId="10" borderId="1" xfId="0" applyFont="1" applyFill="1" applyBorder="1" applyAlignment="1">
      <alignment horizontal="left" vertical="top" wrapText="1"/>
    </xf>
    <xf numFmtId="0" fontId="7" fillId="10" borderId="2" xfId="0" applyFont="1" applyFill="1" applyBorder="1" applyAlignment="1">
      <alignment horizontal="left" vertical="top" wrapText="1"/>
    </xf>
    <xf numFmtId="0" fontId="12" fillId="10" borderId="2" xfId="0" applyFont="1" applyFill="1" applyBorder="1" applyAlignment="1">
      <alignment horizontal="left" vertical="top" wrapText="1"/>
    </xf>
    <xf numFmtId="0" fontId="7" fillId="10" borderId="6" xfId="0" applyFont="1" applyFill="1" applyBorder="1" applyAlignment="1">
      <alignment horizontal="left" vertical="top" wrapText="1"/>
    </xf>
    <xf numFmtId="0" fontId="6" fillId="10" borderId="1" xfId="0" applyFont="1" applyFill="1" applyBorder="1" applyAlignment="1">
      <alignment horizontal="left" vertical="top" wrapText="1"/>
    </xf>
    <xf numFmtId="0" fontId="6" fillId="10" borderId="2" xfId="0" applyFont="1" applyFill="1" applyBorder="1" applyAlignment="1">
      <alignment horizontal="left" vertical="top" wrapText="1"/>
    </xf>
    <xf numFmtId="0" fontId="12" fillId="10" borderId="1" xfId="0" applyFont="1" applyFill="1" applyBorder="1" applyAlignment="1">
      <alignment horizontal="left" vertical="top" wrapText="1"/>
    </xf>
    <xf numFmtId="0" fontId="7" fillId="11" borderId="1" xfId="0" applyFont="1" applyFill="1" applyBorder="1" applyAlignment="1">
      <alignment horizontal="left" vertical="top" wrapText="1"/>
    </xf>
    <xf numFmtId="0" fontId="13" fillId="11" borderId="2" xfId="0" applyFont="1" applyFill="1" applyBorder="1" applyAlignment="1">
      <alignment horizontal="left" vertical="top" wrapText="1"/>
    </xf>
    <xf numFmtId="0" fontId="14" fillId="4" borderId="1" xfId="0" applyFont="1" applyFill="1" applyBorder="1" applyAlignment="1">
      <alignment horizontal="left" vertical="top" wrapText="1"/>
    </xf>
    <xf numFmtId="0" fontId="6" fillId="11" borderId="1" xfId="0" applyFont="1" applyFill="1" applyBorder="1" applyAlignment="1">
      <alignment horizontal="left" vertical="top" wrapText="1"/>
    </xf>
    <xf numFmtId="0" fontId="12" fillId="11" borderId="2" xfId="0" applyFont="1" applyFill="1" applyBorder="1" applyAlignment="1">
      <alignment horizontal="left" vertical="top" wrapText="1"/>
    </xf>
    <xf numFmtId="0" fontId="7" fillId="11" borderId="2" xfId="0" applyFont="1" applyFill="1" applyBorder="1" applyAlignment="1">
      <alignment horizontal="left" vertical="top" wrapText="1"/>
    </xf>
    <xf numFmtId="0" fontId="7" fillId="4" borderId="1" xfId="0" applyFont="1" applyFill="1" applyBorder="1" applyAlignment="1">
      <alignment horizontal="left" vertical="top" wrapText="1"/>
    </xf>
    <xf numFmtId="0" fontId="7" fillId="11" borderId="6" xfId="0" applyFont="1" applyFill="1" applyBorder="1" applyAlignment="1">
      <alignment horizontal="left" vertical="top" wrapText="1"/>
    </xf>
    <xf numFmtId="0" fontId="7" fillId="7" borderId="1" xfId="0" applyFont="1" applyFill="1" applyBorder="1" applyAlignment="1">
      <alignment horizontal="left" vertical="top" wrapText="1"/>
    </xf>
    <xf numFmtId="0" fontId="6" fillId="7" borderId="2" xfId="0" applyFont="1" applyFill="1" applyBorder="1" applyAlignment="1">
      <alignment horizontal="left" vertical="top" wrapText="1"/>
    </xf>
    <xf numFmtId="0" fontId="6" fillId="7" borderId="1" xfId="0" applyFont="1" applyFill="1" applyBorder="1" applyAlignment="1">
      <alignment horizontal="left" vertical="top" wrapText="1"/>
    </xf>
    <xf numFmtId="0" fontId="7" fillId="7" borderId="2" xfId="0" applyFont="1" applyFill="1" applyBorder="1" applyAlignment="1">
      <alignment horizontal="left" vertical="top" wrapText="1"/>
    </xf>
    <xf numFmtId="0" fontId="7" fillId="7" borderId="6" xfId="0" applyFont="1" applyFill="1" applyBorder="1" applyAlignment="1">
      <alignment horizontal="left" vertical="top" wrapText="1"/>
    </xf>
    <xf numFmtId="0" fontId="12" fillId="7" borderId="9" xfId="0" applyFont="1" applyFill="1" applyBorder="1" applyAlignment="1">
      <alignment horizontal="left" vertical="top" wrapText="1"/>
    </xf>
    <xf numFmtId="0" fontId="12" fillId="7" borderId="2" xfId="0" applyFont="1" applyFill="1" applyBorder="1" applyAlignment="1">
      <alignment horizontal="left" vertical="top" wrapText="1"/>
    </xf>
    <xf numFmtId="0" fontId="16" fillId="12" borderId="1" xfId="0" applyFont="1" applyFill="1" applyBorder="1" applyAlignment="1">
      <alignment horizontal="center" vertical="center" textRotation="90" wrapText="1"/>
    </xf>
    <xf numFmtId="0" fontId="17" fillId="12" borderId="1" xfId="0" applyFont="1" applyFill="1" applyBorder="1" applyAlignment="1">
      <alignment horizontal="center" vertical="center" wrapText="1"/>
    </xf>
    <xf numFmtId="0" fontId="6" fillId="5" borderId="6" xfId="0" applyFont="1" applyFill="1" applyBorder="1" applyAlignment="1">
      <alignment horizontal="left" vertical="top" wrapText="1"/>
    </xf>
    <xf numFmtId="0" fontId="6" fillId="5" borderId="1" xfId="0" applyFont="1" applyFill="1" applyBorder="1" applyAlignment="1">
      <alignment horizontal="left" vertical="top" wrapText="1"/>
    </xf>
    <xf numFmtId="0" fontId="23" fillId="2" borderId="1" xfId="0" applyFont="1" applyFill="1" applyBorder="1" applyAlignment="1">
      <alignment horizontal="center" vertical="center" textRotation="90"/>
    </xf>
    <xf numFmtId="0" fontId="3" fillId="3" borderId="1" xfId="0" applyFont="1" applyFill="1" applyBorder="1" applyAlignment="1">
      <alignment horizontal="center" vertical="center" wrapText="1"/>
    </xf>
    <xf numFmtId="0" fontId="24" fillId="3"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25" fillId="6" borderId="1" xfId="0" applyFont="1" applyFill="1" applyBorder="1" applyAlignment="1">
      <alignment horizontal="left" vertical="top" wrapText="1"/>
    </xf>
    <xf numFmtId="0" fontId="26" fillId="6" borderId="1" xfId="0" applyFont="1" applyFill="1" applyBorder="1" applyAlignment="1">
      <alignment horizontal="left" vertical="top" wrapText="1"/>
    </xf>
    <xf numFmtId="0" fontId="8" fillId="6" borderId="1" xfId="0" applyFont="1" applyFill="1" applyBorder="1" applyAlignment="1">
      <alignment horizontal="left" vertical="top" wrapText="1"/>
    </xf>
    <xf numFmtId="0" fontId="8" fillId="6" borderId="1" xfId="0" quotePrefix="1" applyFont="1" applyFill="1" applyBorder="1" applyAlignment="1">
      <alignment horizontal="left" vertical="top" wrapText="1"/>
    </xf>
    <xf numFmtId="0" fontId="6" fillId="7" borderId="1" xfId="0" quotePrefix="1" applyFont="1" applyFill="1" applyBorder="1" applyAlignment="1">
      <alignment horizontal="left" vertical="top" wrapText="1"/>
    </xf>
    <xf numFmtId="0" fontId="8" fillId="7" borderId="1" xfId="0" applyFont="1" applyFill="1" applyBorder="1" applyAlignment="1">
      <alignment horizontal="left" vertical="top" wrapText="1"/>
    </xf>
    <xf numFmtId="0" fontId="6" fillId="4" borderId="11" xfId="0" applyFont="1" applyFill="1" applyBorder="1" applyAlignment="1">
      <alignment horizontal="left" vertical="center" wrapText="1"/>
    </xf>
    <xf numFmtId="0" fontId="8" fillId="7" borderId="1" xfId="0" quotePrefix="1" applyFont="1" applyFill="1" applyBorder="1" applyAlignment="1">
      <alignment horizontal="left" vertical="top" wrapText="1"/>
    </xf>
    <xf numFmtId="0" fontId="8" fillId="5" borderId="1" xfId="0" applyFont="1" applyFill="1" applyBorder="1" applyAlignment="1">
      <alignment horizontal="left" vertical="top" wrapText="1"/>
    </xf>
    <xf numFmtId="0" fontId="28" fillId="4" borderId="12" xfId="0" applyFont="1" applyFill="1" applyBorder="1" applyAlignment="1">
      <alignment wrapText="1"/>
    </xf>
    <xf numFmtId="0" fontId="28" fillId="4" borderId="1" xfId="0" applyFont="1" applyFill="1" applyBorder="1" applyAlignment="1">
      <alignment wrapText="1"/>
    </xf>
    <xf numFmtId="0" fontId="28" fillId="4" borderId="12" xfId="0" applyFont="1" applyFill="1" applyBorder="1" applyAlignment="1">
      <alignment vertical="top" wrapText="1"/>
    </xf>
    <xf numFmtId="0" fontId="8" fillId="9" borderId="1" xfId="0" applyFont="1" applyFill="1" applyBorder="1" applyAlignment="1">
      <alignment horizontal="left" vertical="top" wrapText="1"/>
    </xf>
    <xf numFmtId="0" fontId="8" fillId="9" borderId="6" xfId="0" applyFont="1" applyFill="1" applyBorder="1" applyAlignment="1">
      <alignment horizontal="left" vertical="top" wrapText="1"/>
    </xf>
    <xf numFmtId="0" fontId="28" fillId="4" borderId="14" xfId="0" applyFont="1" applyFill="1" applyBorder="1" applyAlignment="1">
      <alignment wrapText="1"/>
    </xf>
    <xf numFmtId="0" fontId="8" fillId="9" borderId="1" xfId="0" quotePrefix="1" applyFont="1" applyFill="1" applyBorder="1" applyAlignment="1">
      <alignment horizontal="left" vertical="top" wrapText="1"/>
    </xf>
    <xf numFmtId="0" fontId="6" fillId="9" borderId="1" xfId="0" quotePrefix="1" applyFont="1" applyFill="1" applyBorder="1" applyAlignment="1">
      <alignment horizontal="left" vertical="top" wrapText="1"/>
    </xf>
    <xf numFmtId="0" fontId="8" fillId="10" borderId="1" xfId="0" quotePrefix="1" applyFont="1" applyFill="1" applyBorder="1" applyAlignment="1">
      <alignment horizontal="left" vertical="top" wrapText="1"/>
    </xf>
    <xf numFmtId="0" fontId="8" fillId="10" borderId="1" xfId="0" applyFont="1" applyFill="1" applyBorder="1" applyAlignment="1">
      <alignment horizontal="left" vertical="top" wrapText="1"/>
    </xf>
    <xf numFmtId="0" fontId="6" fillId="10" borderId="1" xfId="0" quotePrefix="1" applyFont="1" applyFill="1" applyBorder="1" applyAlignment="1">
      <alignment horizontal="left" vertical="top" wrapText="1"/>
    </xf>
    <xf numFmtId="0" fontId="6" fillId="10" borderId="10" xfId="0" applyFont="1" applyFill="1" applyBorder="1" applyAlignment="1">
      <alignment horizontal="left" vertical="top" wrapText="1"/>
    </xf>
    <xf numFmtId="0" fontId="6" fillId="5" borderId="1" xfId="0" applyFont="1" applyFill="1" applyBorder="1" applyAlignment="1">
      <alignment vertical="top" wrapText="1"/>
    </xf>
    <xf numFmtId="0" fontId="6" fillId="4" borderId="1" xfId="0" applyFont="1" applyFill="1" applyBorder="1" applyAlignment="1">
      <alignment wrapText="1"/>
    </xf>
    <xf numFmtId="0" fontId="8" fillId="4" borderId="1" xfId="0" applyFont="1" applyFill="1" applyBorder="1" applyAlignment="1">
      <alignment wrapText="1"/>
    </xf>
    <xf numFmtId="0" fontId="11" fillId="4" borderId="1" xfId="0" applyFont="1" applyFill="1" applyBorder="1" applyAlignment="1">
      <alignment wrapText="1"/>
    </xf>
    <xf numFmtId="0" fontId="7" fillId="4" borderId="1" xfId="0" applyFont="1" applyFill="1" applyBorder="1" applyAlignment="1">
      <alignment wrapText="1"/>
    </xf>
    <xf numFmtId="0" fontId="29" fillId="4" borderId="1" xfId="1" applyFill="1" applyBorder="1" applyAlignment="1">
      <alignment wrapText="1"/>
    </xf>
    <xf numFmtId="0" fontId="4" fillId="11" borderId="1" xfId="0" applyFont="1" applyFill="1" applyBorder="1" applyAlignment="1">
      <alignment horizontal="center" vertical="center" textRotation="90"/>
    </xf>
    <xf numFmtId="0" fontId="4" fillId="6" borderId="1" xfId="0" applyFont="1" applyFill="1" applyBorder="1" applyAlignment="1">
      <alignment horizontal="center" vertical="center" textRotation="90"/>
    </xf>
    <xf numFmtId="0" fontId="30" fillId="0" borderId="16" xfId="0" applyFont="1" applyBorder="1" applyAlignment="1">
      <alignment readingOrder="1"/>
    </xf>
    <xf numFmtId="0" fontId="32" fillId="0" borderId="18" xfId="0" applyFont="1" applyBorder="1" applyAlignment="1">
      <alignment wrapText="1" readingOrder="1"/>
    </xf>
    <xf numFmtId="0" fontId="32" fillId="0" borderId="19" xfId="0" applyFont="1" applyBorder="1" applyAlignment="1">
      <alignment wrapText="1" readingOrder="1"/>
    </xf>
    <xf numFmtId="0" fontId="30" fillId="0" borderId="20" xfId="0" applyFont="1" applyBorder="1" applyAlignment="1">
      <alignment readingOrder="1"/>
    </xf>
    <xf numFmtId="0" fontId="31" fillId="0" borderId="21" xfId="0" applyFont="1" applyBorder="1" applyAlignment="1">
      <alignment wrapText="1" readingOrder="1"/>
    </xf>
    <xf numFmtId="0" fontId="30" fillId="0" borderId="22" xfId="0" applyFont="1" applyBorder="1" applyAlignment="1">
      <alignment readingOrder="1"/>
    </xf>
    <xf numFmtId="0" fontId="30" fillId="0" borderId="23" xfId="0" applyFont="1" applyBorder="1" applyAlignment="1">
      <alignment readingOrder="1"/>
    </xf>
    <xf numFmtId="0" fontId="29" fillId="0" borderId="13" xfId="1"/>
    <xf numFmtId="16" fontId="31" fillId="16" borderId="21" xfId="0" applyNumberFormat="1" applyFont="1" applyFill="1" applyBorder="1" applyAlignment="1">
      <alignment wrapText="1" readingOrder="1"/>
    </xf>
    <xf numFmtId="16" fontId="30" fillId="16" borderId="21" xfId="0" applyNumberFormat="1" applyFont="1" applyFill="1" applyBorder="1" applyAlignment="1">
      <alignment wrapText="1" readingOrder="1"/>
    </xf>
    <xf numFmtId="0" fontId="32" fillId="0" borderId="22" xfId="0" applyFont="1" applyBorder="1" applyAlignment="1">
      <alignment wrapText="1" readingOrder="1"/>
    </xf>
    <xf numFmtId="0" fontId="32" fillId="0" borderId="23" xfId="0" applyFont="1" applyBorder="1" applyAlignment="1">
      <alignment wrapText="1" readingOrder="1"/>
    </xf>
    <xf numFmtId="16" fontId="31" fillId="17" borderId="21" xfId="0" applyNumberFormat="1" applyFont="1" applyFill="1" applyBorder="1" applyAlignment="1">
      <alignment wrapText="1" readingOrder="1"/>
    </xf>
    <xf numFmtId="16" fontId="30" fillId="17" borderId="21" xfId="0" applyNumberFormat="1" applyFont="1" applyFill="1" applyBorder="1" applyAlignment="1">
      <alignment wrapText="1" readingOrder="1"/>
    </xf>
    <xf numFmtId="16" fontId="31" fillId="18" borderId="21" xfId="0" applyNumberFormat="1" applyFont="1" applyFill="1" applyBorder="1" applyAlignment="1">
      <alignment wrapText="1" readingOrder="1"/>
    </xf>
    <xf numFmtId="16" fontId="30" fillId="18" borderId="21" xfId="0" applyNumberFormat="1" applyFont="1" applyFill="1" applyBorder="1" applyAlignment="1">
      <alignment wrapText="1" readingOrder="1"/>
    </xf>
    <xf numFmtId="16" fontId="31" fillId="19" borderId="21" xfId="0" applyNumberFormat="1" applyFont="1" applyFill="1" applyBorder="1" applyAlignment="1">
      <alignment wrapText="1" readingOrder="1"/>
    </xf>
    <xf numFmtId="16" fontId="30" fillId="19" borderId="21" xfId="0" applyNumberFormat="1" applyFont="1" applyFill="1" applyBorder="1" applyAlignment="1">
      <alignment wrapText="1" readingOrder="1"/>
    </xf>
    <xf numFmtId="0" fontId="33" fillId="20" borderId="21" xfId="0" applyFont="1" applyFill="1" applyBorder="1" applyAlignment="1">
      <alignment wrapText="1" readingOrder="1"/>
    </xf>
    <xf numFmtId="16" fontId="31" fillId="20" borderId="21" xfId="0" applyNumberFormat="1" applyFont="1" applyFill="1" applyBorder="1" applyAlignment="1">
      <alignment wrapText="1" readingOrder="1"/>
    </xf>
    <xf numFmtId="16" fontId="30" fillId="20" borderId="21" xfId="0" applyNumberFormat="1" applyFont="1" applyFill="1" applyBorder="1" applyAlignment="1">
      <alignment wrapText="1" readingOrder="1"/>
    </xf>
    <xf numFmtId="0" fontId="33" fillId="21" borderId="21" xfId="0" applyFont="1" applyFill="1" applyBorder="1" applyAlignment="1">
      <alignment wrapText="1" readingOrder="1"/>
    </xf>
    <xf numFmtId="16" fontId="31" fillId="21" borderId="21" xfId="0" applyNumberFormat="1" applyFont="1" applyFill="1" applyBorder="1" applyAlignment="1">
      <alignment wrapText="1" readingOrder="1"/>
    </xf>
    <xf numFmtId="16" fontId="30" fillId="21" borderId="21" xfId="0" applyNumberFormat="1" applyFont="1" applyFill="1" applyBorder="1" applyAlignment="1">
      <alignment wrapText="1" readingOrder="1"/>
    </xf>
    <xf numFmtId="0" fontId="30" fillId="0" borderId="24" xfId="0" applyFont="1" applyBorder="1" applyAlignment="1">
      <alignment readingOrder="1"/>
    </xf>
    <xf numFmtId="0" fontId="30" fillId="0" borderId="25" xfId="0" applyFont="1" applyBorder="1" applyAlignment="1">
      <alignment readingOrder="1"/>
    </xf>
    <xf numFmtId="0" fontId="30" fillId="0" borderId="21" xfId="0" applyFont="1" applyBorder="1" applyAlignment="1">
      <alignment readingOrder="1"/>
    </xf>
    <xf numFmtId="0" fontId="3" fillId="4" borderId="13" xfId="0" applyFont="1" applyFill="1" applyAlignment="1">
      <alignment horizontal="center" vertical="center" wrapText="1"/>
    </xf>
    <xf numFmtId="0" fontId="0" fillId="0" borderId="13" xfId="0"/>
    <xf numFmtId="0" fontId="5" fillId="7" borderId="5" xfId="0" applyFont="1" applyFill="1" applyBorder="1" applyAlignment="1">
      <alignment horizontal="left" vertical="top" wrapText="1"/>
    </xf>
    <xf numFmtId="0" fontId="29" fillId="4" borderId="13" xfId="1" applyFill="1" applyAlignment="1">
      <alignment wrapText="1"/>
    </xf>
    <xf numFmtId="0" fontId="5" fillId="6" borderId="5" xfId="0" applyFont="1" applyFill="1" applyBorder="1" applyAlignment="1">
      <alignment horizontal="left" vertical="top" wrapText="1"/>
    </xf>
    <xf numFmtId="0" fontId="5" fillId="4" borderId="1" xfId="0" applyFont="1" applyFill="1" applyBorder="1" applyAlignment="1">
      <alignment horizontal="left" vertical="top" wrapText="1"/>
    </xf>
    <xf numFmtId="0" fontId="0" fillId="0" borderId="13" xfId="0" applyAlignment="1">
      <alignment wrapText="1"/>
    </xf>
    <xf numFmtId="0" fontId="19" fillId="0" borderId="13" xfId="0" applyFont="1"/>
    <xf numFmtId="0" fontId="19" fillId="0" borderId="13" xfId="0" applyFont="1" applyAlignment="1">
      <alignment wrapText="1"/>
    </xf>
    <xf numFmtId="0" fontId="6" fillId="4" borderId="13" xfId="0" applyFont="1" applyFill="1" applyAlignment="1">
      <alignment wrapText="1"/>
    </xf>
    <xf numFmtId="0" fontId="5" fillId="6" borderId="7" xfId="0" applyFont="1" applyFill="1" applyBorder="1" applyAlignment="1">
      <alignment horizontal="left" vertical="top" wrapText="1"/>
    </xf>
    <xf numFmtId="0" fontId="5" fillId="6" borderId="15" xfId="0" applyFont="1" applyFill="1" applyBorder="1" applyAlignment="1">
      <alignment horizontal="left" vertical="top" wrapText="1"/>
    </xf>
    <xf numFmtId="0" fontId="7" fillId="6" borderId="10" xfId="0" applyFont="1" applyFill="1" applyBorder="1" applyAlignment="1">
      <alignment horizontal="left" vertical="top" wrapText="1"/>
    </xf>
    <xf numFmtId="0" fontId="5" fillId="9" borderId="5" xfId="0" applyFont="1" applyFill="1" applyBorder="1" applyAlignment="1">
      <alignment horizontal="left" vertical="top" wrapText="1"/>
    </xf>
    <xf numFmtId="0" fontId="8" fillId="4" borderId="13" xfId="0" applyFont="1" applyFill="1" applyAlignment="1">
      <alignment wrapText="1"/>
    </xf>
    <xf numFmtId="0" fontId="5" fillId="10" borderId="5" xfId="0" applyFont="1" applyFill="1" applyBorder="1" applyAlignment="1">
      <alignment horizontal="left" vertical="top" wrapText="1"/>
    </xf>
    <xf numFmtId="0" fontId="7" fillId="10" borderId="5" xfId="0" applyFont="1" applyFill="1" applyBorder="1" applyAlignment="1">
      <alignment horizontal="left" vertical="top" wrapText="1"/>
    </xf>
    <xf numFmtId="0" fontId="5" fillId="11" borderId="5" xfId="0" applyFont="1" applyFill="1" applyBorder="1" applyAlignment="1">
      <alignment horizontal="left" vertical="top" wrapText="1"/>
    </xf>
    <xf numFmtId="0" fontId="6" fillId="11" borderId="6" xfId="0" applyFont="1" applyFill="1" applyBorder="1" applyAlignment="1">
      <alignment horizontal="left" vertical="top" wrapText="1"/>
    </xf>
    <xf numFmtId="0" fontId="7" fillId="11" borderId="5" xfId="0" applyFont="1" applyFill="1" applyBorder="1" applyAlignment="1">
      <alignment horizontal="left" vertical="top" wrapText="1"/>
    </xf>
    <xf numFmtId="0" fontId="5" fillId="7" borderId="15" xfId="0" applyFont="1" applyFill="1" applyBorder="1" applyAlignment="1">
      <alignment horizontal="left" vertical="top" wrapText="1"/>
    </xf>
    <xf numFmtId="0" fontId="7" fillId="7" borderId="10" xfId="0" applyFont="1" applyFill="1" applyBorder="1" applyAlignment="1">
      <alignment horizontal="left" vertical="top" wrapText="1"/>
    </xf>
    <xf numFmtId="0" fontId="4" fillId="0" borderId="13" xfId="0" applyFont="1" applyAlignment="1">
      <alignment horizontal="center" vertical="center" textRotation="90"/>
    </xf>
    <xf numFmtId="0" fontId="15" fillId="0" borderId="13" xfId="0" applyFont="1" applyAlignment="1">
      <alignment horizontal="left" vertical="top" wrapText="1"/>
    </xf>
    <xf numFmtId="0" fontId="6" fillId="0" borderId="13" xfId="0" applyFont="1" applyAlignment="1">
      <alignment horizontal="left" vertical="top" wrapText="1"/>
    </xf>
    <xf numFmtId="0" fontId="17" fillId="12" borderId="13" xfId="0" applyFont="1" applyFill="1" applyAlignment="1">
      <alignment horizontal="center" vertical="center" wrapText="1"/>
    </xf>
    <xf numFmtId="0" fontId="16" fillId="12" borderId="13" xfId="0" applyFont="1" applyFill="1" applyAlignment="1">
      <alignment horizontal="center" vertical="center" wrapText="1"/>
    </xf>
    <xf numFmtId="0" fontId="5" fillId="5" borderId="5" xfId="0" applyFont="1" applyFill="1" applyBorder="1" applyAlignment="1">
      <alignment horizontal="left" vertical="top" wrapText="1"/>
    </xf>
    <xf numFmtId="0" fontId="18" fillId="0" borderId="13" xfId="0" applyFont="1" applyAlignment="1">
      <alignment horizontal="center" vertical="center" textRotation="90"/>
    </xf>
    <xf numFmtId="0" fontId="5" fillId="6" borderId="1" xfId="0" applyFont="1" applyFill="1" applyBorder="1" applyAlignment="1">
      <alignment horizontal="left" vertical="top" wrapText="1"/>
    </xf>
    <xf numFmtId="0" fontId="14" fillId="6" borderId="1" xfId="0" applyFont="1" applyFill="1" applyBorder="1" applyAlignment="1">
      <alignment horizontal="left" vertical="top" wrapText="1"/>
    </xf>
    <xf numFmtId="0" fontId="6" fillId="4" borderId="13" xfId="0" applyFont="1" applyFill="1" applyAlignment="1">
      <alignment horizontal="left" vertical="center" wrapText="1"/>
    </xf>
    <xf numFmtId="0" fontId="27" fillId="10" borderId="5" xfId="0" applyFont="1" applyFill="1" applyBorder="1" applyAlignment="1">
      <alignment horizontal="left" vertical="top" wrapText="1"/>
    </xf>
    <xf numFmtId="0" fontId="27" fillId="9" borderId="5" xfId="0" applyFont="1" applyFill="1" applyBorder="1" applyAlignment="1">
      <alignment horizontal="left" vertical="top" wrapText="1"/>
    </xf>
    <xf numFmtId="0" fontId="28" fillId="4" borderId="13" xfId="0" applyFont="1" applyFill="1" applyAlignment="1">
      <alignment wrapText="1"/>
    </xf>
    <xf numFmtId="0" fontId="14" fillId="9" borderId="1" xfId="0" applyFont="1" applyFill="1" applyBorder="1" applyAlignment="1">
      <alignment horizontal="left" vertical="top" wrapText="1"/>
    </xf>
    <xf numFmtId="0" fontId="27" fillId="9" borderId="7" xfId="0" applyFont="1" applyFill="1" applyBorder="1" applyAlignment="1">
      <alignment horizontal="left" vertical="top" wrapText="1"/>
    </xf>
    <xf numFmtId="0" fontId="5" fillId="9" borderId="1" xfId="0" applyFont="1" applyFill="1" applyBorder="1" applyAlignment="1">
      <alignment horizontal="left" vertical="top" wrapText="1"/>
    </xf>
    <xf numFmtId="0" fontId="27" fillId="5" borderId="5" xfId="0" applyFont="1" applyFill="1" applyBorder="1" applyAlignment="1">
      <alignment horizontal="left" vertical="top" wrapText="1"/>
    </xf>
    <xf numFmtId="0" fontId="5" fillId="10" borderId="1" xfId="0" applyFont="1" applyFill="1" applyBorder="1" applyAlignment="1">
      <alignment horizontal="left" vertical="top" wrapText="1"/>
    </xf>
    <xf numFmtId="0" fontId="5" fillId="5" borderId="15" xfId="0" applyFont="1" applyFill="1" applyBorder="1" applyAlignment="1">
      <alignment horizontal="left" vertical="top" wrapText="1"/>
    </xf>
    <xf numFmtId="0" fontId="5" fillId="9" borderId="7" xfId="0" applyFont="1" applyFill="1" applyBorder="1" applyAlignment="1">
      <alignment horizontal="left" vertical="top" wrapText="1"/>
    </xf>
    <xf numFmtId="0" fontId="5" fillId="9" borderId="15" xfId="0" applyFont="1" applyFill="1" applyBorder="1" applyAlignment="1">
      <alignment horizontal="left" vertical="top" wrapText="1"/>
    </xf>
    <xf numFmtId="0" fontId="6" fillId="5" borderId="10" xfId="0" applyFont="1" applyFill="1" applyBorder="1" applyAlignment="1">
      <alignment horizontal="left" vertical="top" wrapText="1"/>
    </xf>
    <xf numFmtId="0" fontId="14" fillId="4" borderId="1" xfId="0" applyFont="1" applyFill="1" applyBorder="1" applyAlignment="1">
      <alignment wrapText="1"/>
    </xf>
    <xf numFmtId="0" fontId="5" fillId="15" borderId="5" xfId="0" applyFont="1" applyFill="1" applyBorder="1" applyAlignment="1">
      <alignment horizontal="left" vertical="top" wrapText="1"/>
    </xf>
    <xf numFmtId="0" fontId="27" fillId="15" borderId="5" xfId="0" applyFont="1" applyFill="1" applyBorder="1" applyAlignment="1">
      <alignment horizontal="left" vertical="top" wrapText="1"/>
    </xf>
    <xf numFmtId="0" fontId="28" fillId="0" borderId="29" xfId="0" applyFont="1" applyBorder="1" applyAlignment="1">
      <alignment horizontal="center" wrapText="1"/>
    </xf>
    <xf numFmtId="0" fontId="28" fillId="0" borderId="30" xfId="0" applyFont="1" applyBorder="1" applyAlignment="1">
      <alignment horizontal="center" wrapText="1"/>
    </xf>
    <xf numFmtId="16" fontId="28" fillId="22" borderId="30" xfId="0" applyNumberFormat="1" applyFont="1" applyFill="1" applyBorder="1" applyAlignment="1">
      <alignment horizontal="center" wrapText="1"/>
    </xf>
    <xf numFmtId="16" fontId="30" fillId="22" borderId="30" xfId="0" applyNumberFormat="1" applyFont="1" applyFill="1" applyBorder="1" applyAlignment="1">
      <alignment horizontal="center" wrapText="1"/>
    </xf>
    <xf numFmtId="16" fontId="28" fillId="24" borderId="30" xfId="0" applyNumberFormat="1" applyFont="1" applyFill="1" applyBorder="1" applyAlignment="1">
      <alignment horizontal="center" wrapText="1"/>
    </xf>
    <xf numFmtId="16" fontId="30" fillId="24" borderId="30" xfId="0" applyNumberFormat="1" applyFont="1" applyFill="1" applyBorder="1" applyAlignment="1">
      <alignment horizontal="center" wrapText="1"/>
    </xf>
    <xf numFmtId="0" fontId="33" fillId="20" borderId="29" xfId="0" applyFont="1" applyFill="1" applyBorder="1" applyAlignment="1">
      <alignment horizontal="center" wrapText="1"/>
    </xf>
    <xf numFmtId="16" fontId="28" fillId="20" borderId="30" xfId="0" applyNumberFormat="1" applyFont="1" applyFill="1" applyBorder="1" applyAlignment="1">
      <alignment horizontal="center" wrapText="1"/>
    </xf>
    <xf numFmtId="16" fontId="30" fillId="20" borderId="30" xfId="0" applyNumberFormat="1" applyFont="1" applyFill="1" applyBorder="1" applyAlignment="1">
      <alignment horizontal="center" wrapText="1"/>
    </xf>
    <xf numFmtId="16" fontId="28" fillId="23" borderId="30" xfId="0" applyNumberFormat="1" applyFont="1" applyFill="1" applyBorder="1" applyAlignment="1">
      <alignment horizontal="center" wrapText="1"/>
    </xf>
    <xf numFmtId="16" fontId="30" fillId="23" borderId="30" xfId="0" applyNumberFormat="1" applyFont="1" applyFill="1" applyBorder="1" applyAlignment="1">
      <alignment horizontal="center" wrapText="1"/>
    </xf>
    <xf numFmtId="16" fontId="0" fillId="0" borderId="0" xfId="0" applyNumberFormat="1" applyBorder="1"/>
    <xf numFmtId="0" fontId="5" fillId="6" borderId="15" xfId="0" applyFont="1" applyFill="1" applyBorder="1" applyAlignment="1">
      <alignment horizontal="center" vertical="center" wrapText="1"/>
    </xf>
    <xf numFmtId="0" fontId="6" fillId="6" borderId="10"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19" fillId="13" borderId="13" xfId="0" applyFont="1" applyFill="1" applyAlignment="1">
      <alignment horizontal="center" vertical="center" wrapText="1"/>
    </xf>
    <xf numFmtId="0" fontId="15" fillId="4" borderId="1" xfId="0" applyFont="1" applyFill="1" applyBorder="1" applyAlignment="1">
      <alignment horizontal="center" vertical="center" wrapText="1"/>
    </xf>
    <xf numFmtId="0" fontId="29" fillId="4" borderId="13" xfId="1" applyFill="1" applyAlignment="1">
      <alignment horizontal="center" vertical="center" wrapText="1"/>
    </xf>
    <xf numFmtId="0" fontId="20" fillId="14" borderId="13" xfId="0" applyFont="1" applyFill="1" applyAlignment="1">
      <alignment horizontal="center" vertical="center" wrapText="1"/>
    </xf>
    <xf numFmtId="0" fontId="6" fillId="6" borderId="2"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5" fillId="6" borderId="5"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6" borderId="2"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6" fillId="4" borderId="13" xfId="0" applyFont="1" applyFill="1" applyAlignment="1">
      <alignment horizontal="center" vertical="center" wrapText="1"/>
    </xf>
    <xf numFmtId="0" fontId="7" fillId="6" borderId="6" xfId="0" applyFont="1" applyFill="1" applyBorder="1" applyAlignment="1">
      <alignment horizontal="center" vertical="center" wrapText="1"/>
    </xf>
    <xf numFmtId="0" fontId="12" fillId="6" borderId="2"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11" fillId="4" borderId="13" xfId="0" applyFont="1" applyFill="1" applyAlignment="1">
      <alignment horizontal="center" vertical="center" wrapText="1"/>
    </xf>
    <xf numFmtId="0" fontId="5" fillId="9" borderId="5" xfId="0" applyFont="1" applyFill="1" applyBorder="1" applyAlignment="1">
      <alignment horizontal="center" vertical="center" wrapText="1"/>
    </xf>
    <xf numFmtId="0" fontId="7" fillId="9" borderId="1" xfId="0" applyFont="1" applyFill="1" applyBorder="1" applyAlignment="1">
      <alignment horizontal="center" vertical="center" wrapText="1"/>
    </xf>
    <xf numFmtId="0" fontId="7" fillId="9" borderId="2" xfId="0" applyFont="1" applyFill="1" applyBorder="1" applyAlignment="1">
      <alignment horizontal="center" vertical="center" wrapText="1"/>
    </xf>
    <xf numFmtId="0" fontId="12" fillId="9" borderId="2" xfId="0" applyFont="1" applyFill="1" applyBorder="1" applyAlignment="1">
      <alignment horizontal="center" vertical="center" wrapText="1"/>
    </xf>
    <xf numFmtId="0" fontId="8" fillId="4" borderId="13" xfId="0" applyFont="1" applyFill="1" applyAlignment="1">
      <alignment horizontal="center" vertical="center" wrapText="1"/>
    </xf>
    <xf numFmtId="0" fontId="6" fillId="9" borderId="1" xfId="0" applyFont="1" applyFill="1" applyBorder="1" applyAlignment="1">
      <alignment horizontal="center" vertical="center" wrapText="1"/>
    </xf>
    <xf numFmtId="0" fontId="6" fillId="9" borderId="2" xfId="0" applyFont="1" applyFill="1" applyBorder="1" applyAlignment="1">
      <alignment horizontal="center" vertical="center" wrapText="1"/>
    </xf>
    <xf numFmtId="0" fontId="8" fillId="14" borderId="13" xfId="0" applyFont="1" applyFill="1" applyAlignment="1">
      <alignment horizontal="center" vertical="center" wrapText="1"/>
    </xf>
    <xf numFmtId="0" fontId="5" fillId="10" borderId="5" xfId="0"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0" borderId="2" xfId="0" applyFont="1" applyFill="1" applyBorder="1" applyAlignment="1">
      <alignment horizontal="center" vertical="center" wrapText="1"/>
    </xf>
    <xf numFmtId="0" fontId="6" fillId="14" borderId="13" xfId="0" applyFont="1" applyFill="1" applyAlignment="1">
      <alignment horizontal="center" vertical="center" wrapText="1"/>
    </xf>
    <xf numFmtId="0" fontId="7" fillId="10" borderId="5" xfId="0" applyFont="1" applyFill="1" applyBorder="1" applyAlignment="1">
      <alignment horizontal="center" vertical="center" wrapText="1"/>
    </xf>
    <xf numFmtId="0" fontId="7" fillId="10" borderId="6"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7" fillId="11" borderId="1" xfId="0" applyFont="1" applyFill="1" applyBorder="1" applyAlignment="1">
      <alignment horizontal="center" vertical="center" wrapText="1"/>
    </xf>
    <xf numFmtId="0" fontId="7" fillId="11" borderId="2" xfId="0" applyFont="1" applyFill="1" applyBorder="1" applyAlignment="1">
      <alignment horizontal="center" vertical="center" wrapText="1"/>
    </xf>
    <xf numFmtId="0" fontId="7" fillId="5" borderId="5"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6" fillId="5" borderId="6" xfId="0" applyFont="1" applyFill="1" applyBorder="1" applyAlignment="1">
      <alignment horizontal="center" vertical="center" wrapText="1"/>
    </xf>
    <xf numFmtId="0" fontId="5" fillId="5" borderId="5"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15" fillId="14" borderId="13" xfId="0" applyFont="1" applyFill="1" applyAlignment="1">
      <alignment horizontal="center" vertical="center" wrapText="1"/>
    </xf>
    <xf numFmtId="0" fontId="7" fillId="6" borderId="5" xfId="0" applyFont="1" applyFill="1" applyBorder="1" applyAlignment="1">
      <alignment horizontal="center" vertical="center" wrapText="1"/>
    </xf>
    <xf numFmtId="0" fontId="15" fillId="0" borderId="13" xfId="0" applyFont="1" applyAlignment="1">
      <alignment horizontal="center" vertical="center" wrapText="1"/>
    </xf>
    <xf numFmtId="0" fontId="19" fillId="0" borderId="13" xfId="0" applyFont="1" applyAlignment="1">
      <alignment horizontal="center" vertical="center" wrapText="1"/>
    </xf>
    <xf numFmtId="0" fontId="6" fillId="0" borderId="13" xfId="0" applyFont="1" applyAlignment="1">
      <alignment horizontal="center" vertical="center" wrapText="1"/>
    </xf>
    <xf numFmtId="0" fontId="0" fillId="0" borderId="13" xfId="0" applyAlignment="1">
      <alignment horizontal="center" vertical="center" wrapText="1"/>
    </xf>
    <xf numFmtId="0" fontId="0" fillId="0" borderId="0" xfId="0" applyBorder="1" applyAlignment="1">
      <alignment horizontal="center" vertical="center" wrapText="1"/>
    </xf>
    <xf numFmtId="0" fontId="18" fillId="5" borderId="1" xfId="0" applyFont="1" applyFill="1" applyBorder="1" applyAlignment="1">
      <alignment horizontal="center" vertical="center" textRotation="90" wrapText="1"/>
    </xf>
    <xf numFmtId="0" fontId="18" fillId="6" borderId="1" xfId="0" applyFont="1" applyFill="1" applyBorder="1" applyAlignment="1">
      <alignment horizontal="center" vertical="center" textRotation="90" wrapText="1"/>
    </xf>
    <xf numFmtId="0" fontId="21" fillId="0" borderId="13" xfId="0" applyFont="1" applyAlignment="1">
      <alignment horizontal="center" vertical="center" wrapText="1"/>
    </xf>
    <xf numFmtId="0" fontId="22" fillId="0" borderId="13" xfId="0" applyFont="1" applyAlignment="1">
      <alignment horizontal="center" vertical="center" wrapText="1"/>
    </xf>
    <xf numFmtId="0" fontId="22" fillId="14" borderId="13" xfId="0" applyFont="1" applyFill="1" applyAlignment="1">
      <alignment horizontal="center" vertical="center" wrapText="1"/>
    </xf>
    <xf numFmtId="0" fontId="18" fillId="0" borderId="13" xfId="0" applyFont="1" applyAlignment="1">
      <alignment horizontal="center" vertical="center" textRotation="90" wrapText="1"/>
    </xf>
    <xf numFmtId="0" fontId="18" fillId="10" borderId="3" xfId="0" applyFont="1" applyFill="1" applyBorder="1" applyAlignment="1">
      <alignment horizontal="center" vertical="center" textRotation="90"/>
    </xf>
    <xf numFmtId="0" fontId="18" fillId="10" borderId="10" xfId="0" applyFont="1" applyFill="1" applyBorder="1" applyAlignment="1">
      <alignment horizontal="center" vertical="center" textRotation="90"/>
    </xf>
    <xf numFmtId="0" fontId="18" fillId="6" borderId="1" xfId="0" applyFont="1" applyFill="1" applyBorder="1" applyAlignment="1">
      <alignment horizontal="center" vertical="center" textRotation="90"/>
    </xf>
    <xf numFmtId="0" fontId="0" fillId="0" borderId="3" xfId="0" applyBorder="1"/>
    <xf numFmtId="0" fontId="0" fillId="0" borderId="10" xfId="0" applyBorder="1"/>
    <xf numFmtId="0" fontId="6" fillId="8" borderId="11" xfId="0" applyFont="1" applyFill="1" applyBorder="1" applyAlignment="1">
      <alignment horizontal="left" vertical="top" wrapText="1"/>
    </xf>
    <xf numFmtId="0" fontId="0" fillId="0" borderId="11" xfId="0" applyBorder="1"/>
    <xf numFmtId="0" fontId="6" fillId="8" borderId="5" xfId="0" applyFont="1" applyFill="1" applyBorder="1" applyAlignment="1">
      <alignment horizontal="left" vertical="top" wrapText="1"/>
    </xf>
    <xf numFmtId="0" fontId="0" fillId="0" borderId="4" xfId="0" applyBorder="1"/>
    <xf numFmtId="0" fontId="0" fillId="0" borderId="5" xfId="0" applyBorder="1"/>
    <xf numFmtId="0" fontId="18" fillId="5" borderId="1" xfId="0" applyFont="1" applyFill="1" applyBorder="1" applyAlignment="1">
      <alignment horizontal="center" vertical="center" textRotation="90"/>
    </xf>
    <xf numFmtId="0" fontId="18" fillId="9" borderId="3" xfId="0" applyFont="1" applyFill="1" applyBorder="1" applyAlignment="1">
      <alignment horizontal="center" vertical="center" textRotation="90"/>
    </xf>
    <xf numFmtId="0" fontId="4" fillId="6" borderId="1" xfId="0" applyFont="1" applyFill="1" applyBorder="1" applyAlignment="1">
      <alignment horizontal="center" vertical="center" textRotation="90"/>
    </xf>
    <xf numFmtId="0" fontId="7" fillId="8" borderId="5" xfId="0" applyFont="1" applyFill="1" applyBorder="1" applyAlignment="1">
      <alignment horizontal="left" vertical="top" wrapText="1"/>
    </xf>
    <xf numFmtId="0" fontId="4" fillId="5" borderId="1" xfId="0" applyFont="1" applyFill="1" applyBorder="1" applyAlignment="1">
      <alignment horizontal="center" vertical="center" textRotation="90"/>
    </xf>
    <xf numFmtId="0" fontId="4" fillId="10" borderId="1" xfId="0" applyFont="1" applyFill="1" applyBorder="1" applyAlignment="1">
      <alignment horizontal="center" vertical="center" textRotation="90"/>
    </xf>
    <xf numFmtId="0" fontId="15" fillId="8" borderId="1" xfId="0" applyFont="1" applyFill="1" applyBorder="1" applyAlignment="1">
      <alignment horizontal="left" vertical="top" wrapText="1"/>
    </xf>
    <xf numFmtId="0" fontId="4" fillId="9" borderId="1" xfId="0" applyFont="1" applyFill="1" applyBorder="1" applyAlignment="1">
      <alignment horizontal="center" vertical="center" textRotation="90"/>
    </xf>
    <xf numFmtId="0" fontId="4" fillId="11" borderId="1" xfId="0" applyFont="1" applyFill="1" applyBorder="1" applyAlignment="1">
      <alignment horizontal="center" vertical="center" textRotation="90"/>
    </xf>
    <xf numFmtId="0" fontId="18" fillId="5" borderId="1" xfId="0" applyFont="1" applyFill="1" applyBorder="1" applyAlignment="1">
      <alignment horizontal="center" vertical="center" textRotation="90" wrapText="1"/>
    </xf>
    <xf numFmtId="0" fontId="0" fillId="0" borderId="3" xfId="0" applyBorder="1" applyAlignment="1">
      <alignment horizontal="center" vertical="center" wrapText="1"/>
    </xf>
    <xf numFmtId="0" fontId="0" fillId="0" borderId="10" xfId="0" applyBorder="1" applyAlignment="1">
      <alignment horizontal="center" vertical="center" wrapText="1"/>
    </xf>
    <xf numFmtId="0" fontId="18" fillId="6" borderId="1" xfId="0" applyFont="1" applyFill="1" applyBorder="1" applyAlignment="1">
      <alignment horizontal="center" vertical="center" textRotation="90" wrapText="1"/>
    </xf>
    <xf numFmtId="0" fontId="18" fillId="10" borderId="1" xfId="0" applyFont="1" applyFill="1" applyBorder="1" applyAlignment="1">
      <alignment horizontal="center" vertical="center" textRotation="90" wrapText="1"/>
    </xf>
    <xf numFmtId="0" fontId="7" fillId="8" borderId="5" xfId="0" applyFont="1" applyFill="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18" fillId="9" borderId="1" xfId="0" applyFont="1" applyFill="1" applyBorder="1" applyAlignment="1">
      <alignment horizontal="center" vertical="center" textRotation="90" wrapText="1"/>
    </xf>
    <xf numFmtId="0" fontId="15" fillId="8" borderId="1" xfId="0" applyFont="1" applyFill="1" applyBorder="1" applyAlignment="1">
      <alignment horizontal="center" vertical="center" wrapText="1"/>
    </xf>
    <xf numFmtId="0" fontId="31" fillId="0" borderId="17" xfId="0" applyFont="1" applyBorder="1" applyAlignment="1">
      <alignment wrapText="1" readingOrder="1"/>
    </xf>
    <xf numFmtId="0" fontId="31" fillId="0" borderId="4" xfId="0" applyFont="1" applyBorder="1" applyAlignment="1">
      <alignment wrapText="1" readingOrder="1"/>
    </xf>
    <xf numFmtId="0" fontId="31" fillId="0" borderId="5" xfId="0" applyFont="1" applyBorder="1" applyAlignment="1">
      <alignment wrapText="1" readingOrder="1"/>
    </xf>
    <xf numFmtId="0" fontId="28" fillId="0" borderId="26" xfId="0" applyFont="1" applyBorder="1" applyAlignment="1">
      <alignment horizontal="center" wrapText="1"/>
    </xf>
    <xf numFmtId="0" fontId="28" fillId="0" borderId="27" xfId="0" applyFont="1" applyBorder="1" applyAlignment="1">
      <alignment horizontal="center" wrapText="1"/>
    </xf>
    <xf numFmtId="0" fontId="28" fillId="0" borderId="28" xfId="0" applyFont="1" applyBorder="1" applyAlignment="1">
      <alignment horizontal="center" wrapText="1"/>
    </xf>
    <xf numFmtId="0" fontId="18" fillId="6" borderId="6" xfId="0" applyFont="1" applyFill="1" applyBorder="1" applyAlignment="1">
      <alignment horizontal="center" vertical="center" textRotation="90"/>
    </xf>
    <xf numFmtId="0" fontId="18" fillId="6" borderId="3" xfId="0" applyFont="1" applyFill="1" applyBorder="1" applyAlignment="1">
      <alignment horizontal="center" vertical="center" textRotation="9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2971800</xdr:colOff>
      <xdr:row>95</xdr:row>
      <xdr:rowOff>0</xdr:rowOff>
    </xdr:from>
    <xdr:ext cx="238125" cy="161925"/>
    <xdr:pic>
      <xdr:nvPicPr>
        <xdr:cNvPr id="2" name="image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a:ln>
          <a:prstDash val="solid"/>
        </a:ln>
      </xdr:spPr>
    </xdr:pic>
    <xdr:clientData fLocksWithSheet="0"/>
  </xdr:oneCellAnchor>
  <xdr:twoCellAnchor editAs="oneCell">
    <xdr:from>
      <xdr:col>4</xdr:col>
      <xdr:colOff>2967038</xdr:colOff>
      <xdr:row>94</xdr:row>
      <xdr:rowOff>3395663</xdr:rowOff>
    </xdr:from>
    <xdr:to>
      <xdr:col>4</xdr:col>
      <xdr:colOff>3209925</xdr:colOff>
      <xdr:row>95</xdr:row>
      <xdr:rowOff>157163</xdr:rowOff>
    </xdr:to>
    <xdr:pic>
      <xdr:nvPicPr>
        <xdr:cNvPr id="1025" name="image1.png">
          <a:extLst>
            <a:ext uri="{FF2B5EF4-FFF2-40B4-BE49-F238E27FC236}">
              <a16:creationId xmlns:a16="http://schemas.microsoft.com/office/drawing/2014/main" id="{310D61F6-5C39-2FFE-D2A9-E7EFB8FDF5FE}"/>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26" name="Picture 2">
          <a:extLst>
            <a:ext uri="{FF2B5EF4-FFF2-40B4-BE49-F238E27FC236}">
              <a16:creationId xmlns:a16="http://schemas.microsoft.com/office/drawing/2014/main" id="{078177BD-625B-D837-D3A7-5D06718952A5}"/>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27" name="Picture 3">
          <a:extLst>
            <a:ext uri="{FF2B5EF4-FFF2-40B4-BE49-F238E27FC236}">
              <a16:creationId xmlns:a16="http://schemas.microsoft.com/office/drawing/2014/main" id="{10637F92-3DE1-5B25-0053-A1246A786911}"/>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28" name="Picture 4">
          <a:extLst>
            <a:ext uri="{FF2B5EF4-FFF2-40B4-BE49-F238E27FC236}">
              <a16:creationId xmlns:a16="http://schemas.microsoft.com/office/drawing/2014/main" id="{4E331C3C-BDA9-86FA-7227-6C138936B0B8}"/>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29" name="Picture 5">
          <a:extLst>
            <a:ext uri="{FF2B5EF4-FFF2-40B4-BE49-F238E27FC236}">
              <a16:creationId xmlns:a16="http://schemas.microsoft.com/office/drawing/2014/main" id="{614F4332-4282-8B7C-9C50-8B593B87FA58}"/>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0" name="Picture 6">
          <a:extLst>
            <a:ext uri="{FF2B5EF4-FFF2-40B4-BE49-F238E27FC236}">
              <a16:creationId xmlns:a16="http://schemas.microsoft.com/office/drawing/2014/main" id="{CFE0099B-77F8-A046-3092-D5A2A140AC78}"/>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1" name="Picture 7">
          <a:extLst>
            <a:ext uri="{FF2B5EF4-FFF2-40B4-BE49-F238E27FC236}">
              <a16:creationId xmlns:a16="http://schemas.microsoft.com/office/drawing/2014/main" id="{88E747F6-3A2F-F7AA-E3B9-4330F157666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2" name="Picture 8">
          <a:extLst>
            <a:ext uri="{FF2B5EF4-FFF2-40B4-BE49-F238E27FC236}">
              <a16:creationId xmlns:a16="http://schemas.microsoft.com/office/drawing/2014/main" id="{224081D2-F6E0-799C-8E7E-24768B5F6E9D}"/>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3" name="Picture 9">
          <a:extLst>
            <a:ext uri="{FF2B5EF4-FFF2-40B4-BE49-F238E27FC236}">
              <a16:creationId xmlns:a16="http://schemas.microsoft.com/office/drawing/2014/main" id="{60408FAE-6708-9580-205A-A7AB450D5853}"/>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4" name="Picture 10">
          <a:extLst>
            <a:ext uri="{FF2B5EF4-FFF2-40B4-BE49-F238E27FC236}">
              <a16:creationId xmlns:a16="http://schemas.microsoft.com/office/drawing/2014/main" id="{ECB02B89-1B4C-589D-15CB-3F27EFAED463}"/>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5" name="Picture 11">
          <a:extLst>
            <a:ext uri="{FF2B5EF4-FFF2-40B4-BE49-F238E27FC236}">
              <a16:creationId xmlns:a16="http://schemas.microsoft.com/office/drawing/2014/main" id="{1E9EDF54-40FC-1123-0AF0-00387EBCCF18}"/>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6" name="Picture 12">
          <a:extLst>
            <a:ext uri="{FF2B5EF4-FFF2-40B4-BE49-F238E27FC236}">
              <a16:creationId xmlns:a16="http://schemas.microsoft.com/office/drawing/2014/main" id="{68DFE102-1358-B460-65E6-9F4C67569ABC}"/>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7" name="Picture 13">
          <a:extLst>
            <a:ext uri="{FF2B5EF4-FFF2-40B4-BE49-F238E27FC236}">
              <a16:creationId xmlns:a16="http://schemas.microsoft.com/office/drawing/2014/main" id="{A64BD6A4-9D91-9571-D4CB-C8B7F5707483}"/>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8" name="Picture 14">
          <a:extLst>
            <a:ext uri="{FF2B5EF4-FFF2-40B4-BE49-F238E27FC236}">
              <a16:creationId xmlns:a16="http://schemas.microsoft.com/office/drawing/2014/main" id="{9A087298-7A0C-B38E-D2F6-144A90FFA61F}"/>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39" name="Picture 15">
          <a:extLst>
            <a:ext uri="{FF2B5EF4-FFF2-40B4-BE49-F238E27FC236}">
              <a16:creationId xmlns:a16="http://schemas.microsoft.com/office/drawing/2014/main" id="{46159EA4-4802-4652-14BE-40A079C31538}"/>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40" name="Picture 16">
          <a:extLst>
            <a:ext uri="{FF2B5EF4-FFF2-40B4-BE49-F238E27FC236}">
              <a16:creationId xmlns:a16="http://schemas.microsoft.com/office/drawing/2014/main" id="{7D82640E-F5AE-6DBA-1574-59BFA80A9D86}"/>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41" name="Picture 17">
          <a:extLst>
            <a:ext uri="{FF2B5EF4-FFF2-40B4-BE49-F238E27FC236}">
              <a16:creationId xmlns:a16="http://schemas.microsoft.com/office/drawing/2014/main" id="{55231C3B-04DF-19BA-8C91-53A0FBF601CF}"/>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42" name="Picture 18">
          <a:extLst>
            <a:ext uri="{FF2B5EF4-FFF2-40B4-BE49-F238E27FC236}">
              <a16:creationId xmlns:a16="http://schemas.microsoft.com/office/drawing/2014/main" id="{6586D1FF-B63D-7035-4C97-B5E73972D3D2}"/>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43" name="Picture 19">
          <a:extLst>
            <a:ext uri="{FF2B5EF4-FFF2-40B4-BE49-F238E27FC236}">
              <a16:creationId xmlns:a16="http://schemas.microsoft.com/office/drawing/2014/main" id="{E0C048DE-9412-6DB2-8197-3088AFA3623D}"/>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63" name="Picture 39">
          <a:extLst>
            <a:ext uri="{FF2B5EF4-FFF2-40B4-BE49-F238E27FC236}">
              <a16:creationId xmlns:a16="http://schemas.microsoft.com/office/drawing/2014/main" id="{7F32400F-A716-EE16-C0B6-A109B3F6652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64" name="Picture 40">
          <a:extLst>
            <a:ext uri="{FF2B5EF4-FFF2-40B4-BE49-F238E27FC236}">
              <a16:creationId xmlns:a16="http://schemas.microsoft.com/office/drawing/2014/main" id="{03574506-5EA4-1840-E5EF-092BACDDF3A1}"/>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65" name="Picture 41">
          <a:extLst>
            <a:ext uri="{FF2B5EF4-FFF2-40B4-BE49-F238E27FC236}">
              <a16:creationId xmlns:a16="http://schemas.microsoft.com/office/drawing/2014/main" id="{97059F08-F703-47BD-C21A-9F2C11F0A381}"/>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66" name="Picture 42">
          <a:extLst>
            <a:ext uri="{FF2B5EF4-FFF2-40B4-BE49-F238E27FC236}">
              <a16:creationId xmlns:a16="http://schemas.microsoft.com/office/drawing/2014/main" id="{CD835CC8-18CC-33D6-0C22-64B3D391243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67" name="Picture 43">
          <a:extLst>
            <a:ext uri="{FF2B5EF4-FFF2-40B4-BE49-F238E27FC236}">
              <a16:creationId xmlns:a16="http://schemas.microsoft.com/office/drawing/2014/main" id="{214B1C5F-9F77-8A37-FF38-6A46D8F71F4E}"/>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68" name="Picture 44">
          <a:extLst>
            <a:ext uri="{FF2B5EF4-FFF2-40B4-BE49-F238E27FC236}">
              <a16:creationId xmlns:a16="http://schemas.microsoft.com/office/drawing/2014/main" id="{2807D331-E00F-D9DD-D69F-2182E7F874A6}"/>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69" name="Picture 45">
          <a:extLst>
            <a:ext uri="{FF2B5EF4-FFF2-40B4-BE49-F238E27FC236}">
              <a16:creationId xmlns:a16="http://schemas.microsoft.com/office/drawing/2014/main" id="{F5218368-E504-6744-1751-38AB2E92E217}"/>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0" name="Picture 46">
          <a:extLst>
            <a:ext uri="{FF2B5EF4-FFF2-40B4-BE49-F238E27FC236}">
              <a16:creationId xmlns:a16="http://schemas.microsoft.com/office/drawing/2014/main" id="{37CB92BA-94DD-18C1-9CE4-EBFB5BFF748D}"/>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1" name="Picture 47">
          <a:extLst>
            <a:ext uri="{FF2B5EF4-FFF2-40B4-BE49-F238E27FC236}">
              <a16:creationId xmlns:a16="http://schemas.microsoft.com/office/drawing/2014/main" id="{1218AB61-0079-C686-2B42-48FB61B6AFB8}"/>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2" name="Picture 48">
          <a:extLst>
            <a:ext uri="{FF2B5EF4-FFF2-40B4-BE49-F238E27FC236}">
              <a16:creationId xmlns:a16="http://schemas.microsoft.com/office/drawing/2014/main" id="{899A38A2-32E0-E270-DD46-43B3B3DAD12B}"/>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3" name="Picture 49">
          <a:extLst>
            <a:ext uri="{FF2B5EF4-FFF2-40B4-BE49-F238E27FC236}">
              <a16:creationId xmlns:a16="http://schemas.microsoft.com/office/drawing/2014/main" id="{B3DEFB15-3A51-3466-06EC-028AE6D99A7B}"/>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4" name="Picture 50">
          <a:extLst>
            <a:ext uri="{FF2B5EF4-FFF2-40B4-BE49-F238E27FC236}">
              <a16:creationId xmlns:a16="http://schemas.microsoft.com/office/drawing/2014/main" id="{39C835DD-3BE3-FDD8-007A-95FBE8C50D92}"/>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5" name="Picture 51">
          <a:extLst>
            <a:ext uri="{FF2B5EF4-FFF2-40B4-BE49-F238E27FC236}">
              <a16:creationId xmlns:a16="http://schemas.microsoft.com/office/drawing/2014/main" id="{70236017-B159-1326-BB96-49E44257135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6" name="Picture 52">
          <a:extLst>
            <a:ext uri="{FF2B5EF4-FFF2-40B4-BE49-F238E27FC236}">
              <a16:creationId xmlns:a16="http://schemas.microsoft.com/office/drawing/2014/main" id="{3DC5B824-8913-AAA3-1072-746731430256}"/>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7" name="Picture 53">
          <a:extLst>
            <a:ext uri="{FF2B5EF4-FFF2-40B4-BE49-F238E27FC236}">
              <a16:creationId xmlns:a16="http://schemas.microsoft.com/office/drawing/2014/main" id="{73CFF69C-AA36-8159-D1D6-3E8CA8A08AB8}"/>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8" name="Picture 54">
          <a:extLst>
            <a:ext uri="{FF2B5EF4-FFF2-40B4-BE49-F238E27FC236}">
              <a16:creationId xmlns:a16="http://schemas.microsoft.com/office/drawing/2014/main" id="{702B62BB-8C0B-62AC-167B-31F04E7CD45E}"/>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79" name="Picture 55">
          <a:extLst>
            <a:ext uri="{FF2B5EF4-FFF2-40B4-BE49-F238E27FC236}">
              <a16:creationId xmlns:a16="http://schemas.microsoft.com/office/drawing/2014/main" id="{6FD95B7A-4945-1ED1-90D0-8EF8B7E5EF71}"/>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0" name="Picture 56">
          <a:extLst>
            <a:ext uri="{FF2B5EF4-FFF2-40B4-BE49-F238E27FC236}">
              <a16:creationId xmlns:a16="http://schemas.microsoft.com/office/drawing/2014/main" id="{7964701D-E3BE-AAEB-8B95-E0E15B005B4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1" name="image1.png">
          <a:extLst>
            <a:ext uri="{FF2B5EF4-FFF2-40B4-BE49-F238E27FC236}">
              <a16:creationId xmlns:a16="http://schemas.microsoft.com/office/drawing/2014/main" id="{B4BFE8E7-9487-5626-F957-28FEF14A424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2" name="Picture 58">
          <a:extLst>
            <a:ext uri="{FF2B5EF4-FFF2-40B4-BE49-F238E27FC236}">
              <a16:creationId xmlns:a16="http://schemas.microsoft.com/office/drawing/2014/main" id="{DB3D7EE6-E787-A2A1-C8DF-825CAAF7032F}"/>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3" name="Picture 59">
          <a:extLst>
            <a:ext uri="{FF2B5EF4-FFF2-40B4-BE49-F238E27FC236}">
              <a16:creationId xmlns:a16="http://schemas.microsoft.com/office/drawing/2014/main" id="{56264092-3B1C-F652-31E4-82C565F45DA3}"/>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4" name="Picture 60">
          <a:extLst>
            <a:ext uri="{FF2B5EF4-FFF2-40B4-BE49-F238E27FC236}">
              <a16:creationId xmlns:a16="http://schemas.microsoft.com/office/drawing/2014/main" id="{338D4B47-B87A-17DA-F0B8-5F1671C82AD2}"/>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5" name="Picture 61">
          <a:extLst>
            <a:ext uri="{FF2B5EF4-FFF2-40B4-BE49-F238E27FC236}">
              <a16:creationId xmlns:a16="http://schemas.microsoft.com/office/drawing/2014/main" id="{C15D1141-4AA2-9D02-0BA8-37F979A97D5F}"/>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6" name="Picture 62">
          <a:extLst>
            <a:ext uri="{FF2B5EF4-FFF2-40B4-BE49-F238E27FC236}">
              <a16:creationId xmlns:a16="http://schemas.microsoft.com/office/drawing/2014/main" id="{8159F31B-34C5-7AD9-64E5-60D8033C9D3A}"/>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7" name="Picture 63">
          <a:extLst>
            <a:ext uri="{FF2B5EF4-FFF2-40B4-BE49-F238E27FC236}">
              <a16:creationId xmlns:a16="http://schemas.microsoft.com/office/drawing/2014/main" id="{7A7809CE-EB42-565E-D5ED-8FA88240D0D2}"/>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8" name="Picture 64">
          <a:extLst>
            <a:ext uri="{FF2B5EF4-FFF2-40B4-BE49-F238E27FC236}">
              <a16:creationId xmlns:a16="http://schemas.microsoft.com/office/drawing/2014/main" id="{0FCB5182-4843-BA53-195D-C9214CC0691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89" name="Picture 65">
          <a:extLst>
            <a:ext uri="{FF2B5EF4-FFF2-40B4-BE49-F238E27FC236}">
              <a16:creationId xmlns:a16="http://schemas.microsoft.com/office/drawing/2014/main" id="{6535951A-0265-0137-8EEE-7FB1E3C37BE3}"/>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90" name="Picture 66">
          <a:extLst>
            <a:ext uri="{FF2B5EF4-FFF2-40B4-BE49-F238E27FC236}">
              <a16:creationId xmlns:a16="http://schemas.microsoft.com/office/drawing/2014/main" id="{EF8CB9E8-B977-1912-298B-480CB1799D47}"/>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91" name="Picture 67">
          <a:extLst>
            <a:ext uri="{FF2B5EF4-FFF2-40B4-BE49-F238E27FC236}">
              <a16:creationId xmlns:a16="http://schemas.microsoft.com/office/drawing/2014/main" id="{B996A5BA-E655-D0DB-CCF4-C932CE3C78EC}"/>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92" name="Picture 68">
          <a:extLst>
            <a:ext uri="{FF2B5EF4-FFF2-40B4-BE49-F238E27FC236}">
              <a16:creationId xmlns:a16="http://schemas.microsoft.com/office/drawing/2014/main" id="{01121D71-02D1-3B11-AACD-8D54EE2BB949}"/>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93" name="Picture 69">
          <a:extLst>
            <a:ext uri="{FF2B5EF4-FFF2-40B4-BE49-F238E27FC236}">
              <a16:creationId xmlns:a16="http://schemas.microsoft.com/office/drawing/2014/main" id="{7F6B3715-FCF0-3D48-28BE-A0A745F41BE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94" name="Picture 70">
          <a:extLst>
            <a:ext uri="{FF2B5EF4-FFF2-40B4-BE49-F238E27FC236}">
              <a16:creationId xmlns:a16="http://schemas.microsoft.com/office/drawing/2014/main" id="{369FF6A3-81A2-1D3C-24CB-B7E08171728B}"/>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95" name="Picture 71">
          <a:extLst>
            <a:ext uri="{FF2B5EF4-FFF2-40B4-BE49-F238E27FC236}">
              <a16:creationId xmlns:a16="http://schemas.microsoft.com/office/drawing/2014/main" id="{DB58BAAD-BD19-C0CD-5B8C-022EBD428B1A}"/>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96" name="Picture 72">
          <a:extLst>
            <a:ext uri="{FF2B5EF4-FFF2-40B4-BE49-F238E27FC236}">
              <a16:creationId xmlns:a16="http://schemas.microsoft.com/office/drawing/2014/main" id="{215BC6D5-2402-73A6-9D44-218FF78F64C7}"/>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4</xdr:col>
      <xdr:colOff>2967038</xdr:colOff>
      <xdr:row>94</xdr:row>
      <xdr:rowOff>3395663</xdr:rowOff>
    </xdr:from>
    <xdr:to>
      <xdr:col>4</xdr:col>
      <xdr:colOff>3209925</xdr:colOff>
      <xdr:row>95</xdr:row>
      <xdr:rowOff>157163</xdr:rowOff>
    </xdr:to>
    <xdr:pic>
      <xdr:nvPicPr>
        <xdr:cNvPr id="1097" name="Picture 73">
          <a:extLst>
            <a:ext uri="{FF2B5EF4-FFF2-40B4-BE49-F238E27FC236}">
              <a16:creationId xmlns:a16="http://schemas.microsoft.com/office/drawing/2014/main" id="{90045733-97EA-B97B-97B1-454F6E08402D}"/>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96313" y="342123713"/>
          <a:ext cx="242887" cy="1619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drive.google.com/drive/folders/1oN_ZVmJGqSBWb-w4fMR8a7IJNry5rDdC" TargetMode="External"/><Relationship Id="rId21" Type="http://schemas.openxmlformats.org/officeDocument/2006/relationships/hyperlink" Target="https://drive.google.com/drive/folders/1o2z_CQ_XZdaFFBSeZJf0HSlmKMpwBB9T" TargetMode="External"/><Relationship Id="rId42" Type="http://schemas.openxmlformats.org/officeDocument/2006/relationships/hyperlink" Target="https://drive.google.com/drive/folders/1oqFoSlSEFJRcQ9lcP7ZwOTZZqHHwoNhS" TargetMode="External"/><Relationship Id="rId47" Type="http://schemas.openxmlformats.org/officeDocument/2006/relationships/hyperlink" Target="https://drive.google.com/drive/folders/1ogKTBIfRC4J-Yu5Wd1I-mmGktViFRvfb" TargetMode="External"/><Relationship Id="rId63" Type="http://schemas.openxmlformats.org/officeDocument/2006/relationships/hyperlink" Target="https://docs.google.com/presentation/d/1NcKRhiNDX_d-HKZOnuiD7n7Cf0G4hvfo/edit?slide=id.p10" TargetMode="External"/><Relationship Id="rId68" Type="http://schemas.openxmlformats.org/officeDocument/2006/relationships/hyperlink" Target="https://drive.google.com/drive/folders/1pXGoJn0jpqr7xjdrrtft8oG-7DSD7Nja" TargetMode="External"/><Relationship Id="rId84" Type="http://schemas.openxmlformats.org/officeDocument/2006/relationships/hyperlink" Target="https://drive.google.com/drive/folders/1prOS0SDwzvT0NYaQ4oNne2DCuYz2zRPa" TargetMode="External"/><Relationship Id="rId89" Type="http://schemas.openxmlformats.org/officeDocument/2006/relationships/hyperlink" Target="https://drive.google.com/drive/folders/1pjx01rN4Ugz_flQhnY4F6VVj3AXrLQG9" TargetMode="External"/><Relationship Id="rId16" Type="http://schemas.openxmlformats.org/officeDocument/2006/relationships/hyperlink" Target="https://docs.google.com/document/d/1E2-DWj-vN44RBwv25gNmatY-zJ9iuZCrnXCcSIpe078/edit" TargetMode="External"/><Relationship Id="rId11" Type="http://schemas.openxmlformats.org/officeDocument/2006/relationships/hyperlink" Target="https://drive.google.com/drive/folders/1pOZX6bBpd3m0SM5-IWWRtmC9kDoIYyU1" TargetMode="External"/><Relationship Id="rId32" Type="http://schemas.openxmlformats.org/officeDocument/2006/relationships/hyperlink" Target="https://drive.google.com/drive/folders/1oZIGw9lfP686OpjoxRR4xQ0x-A-Hk9Xq" TargetMode="External"/><Relationship Id="rId37" Type="http://schemas.openxmlformats.org/officeDocument/2006/relationships/hyperlink" Target="https://drive.google.com/drive/folders/1oQuS7rTOloSqbCV_-spbxAz8egCQqsGq" TargetMode="External"/><Relationship Id="rId53" Type="http://schemas.openxmlformats.org/officeDocument/2006/relationships/hyperlink" Target="https://drive.google.com/drive/folders/1p3I3VjoKUdCATx-vr-RCBHxp9Gfhzil5" TargetMode="External"/><Relationship Id="rId58" Type="http://schemas.openxmlformats.org/officeDocument/2006/relationships/hyperlink" Target="https://drive.google.com/drive/folders/1pAzYDJf-FYrSVn7sE9aGBxwR8zKpOwnd" TargetMode="External"/><Relationship Id="rId74" Type="http://schemas.openxmlformats.org/officeDocument/2006/relationships/hyperlink" Target="https://drive.google.com/drive/folders/1paQCxXpSKQXJWyj0VCqCpzdRtAT3PY9V" TargetMode="External"/><Relationship Id="rId79" Type="http://schemas.openxmlformats.org/officeDocument/2006/relationships/hyperlink" Target="https://drive.google.com/drive/folders/1pj0jYXe7j_JqLuDpdTRa_LBApL1yQYWX" TargetMode="External"/><Relationship Id="rId102" Type="http://schemas.openxmlformats.org/officeDocument/2006/relationships/hyperlink" Target="https://drive.google.com/drive/folders/1ntEeMmX8xwAmMI1tUx-mcnGQZ55aoC3n" TargetMode="External"/><Relationship Id="rId5" Type="http://schemas.openxmlformats.org/officeDocument/2006/relationships/hyperlink" Target="https://docs.google.com/document/d/1E2-DWj-vN44RBwv25gNmatY-zJ9iuZCrnXCcSIpe078/edit?tab=t.0" TargetMode="External"/><Relationship Id="rId90" Type="http://schemas.openxmlformats.org/officeDocument/2006/relationships/hyperlink" Target="https://drive.google.com/drive/folders/1pwVj1udlL2XlECA5jb4c4mmXmj6tDbgh" TargetMode="External"/><Relationship Id="rId95" Type="http://schemas.openxmlformats.org/officeDocument/2006/relationships/hyperlink" Target="https://drive.google.com/drive/folders/1nyp8Bga1Rf6wRwNi7SSs94pW87aQ0m8d" TargetMode="External"/><Relationship Id="rId22" Type="http://schemas.openxmlformats.org/officeDocument/2006/relationships/hyperlink" Target="https://drive.google.com/drive/folders/1o2VpnosMero_ZfmSi3XMmsJufx9iIWPG" TargetMode="External"/><Relationship Id="rId27" Type="http://schemas.openxmlformats.org/officeDocument/2006/relationships/hyperlink" Target="https://drive.google.com/drive/folders/1oeHKzTBiL2py0fSBRXjUpICjkTkztK6S" TargetMode="External"/><Relationship Id="rId43" Type="http://schemas.openxmlformats.org/officeDocument/2006/relationships/hyperlink" Target="https://drive.google.com/drive/folders/1opf2wIG9CSRYWCigG3eD9Nt97CMY4yol" TargetMode="External"/><Relationship Id="rId48" Type="http://schemas.openxmlformats.org/officeDocument/2006/relationships/hyperlink" Target="https://drive.google.com/drive/folders/1ovZonrn40fpHtWgJeX7RCK67cawhQlrg" TargetMode="External"/><Relationship Id="rId64" Type="http://schemas.openxmlformats.org/officeDocument/2006/relationships/hyperlink" Target="https://drive.google.com/drive/folders/1p4Tj4mTMSijA21EthVlauI8fsAcLYgYI" TargetMode="External"/><Relationship Id="rId69" Type="http://schemas.openxmlformats.org/officeDocument/2006/relationships/hyperlink" Target="https://drive.google.com/drive/folders/1dDJm38nPGf2bqIePx_4gGCVm2ctnz4lz" TargetMode="External"/><Relationship Id="rId80" Type="http://schemas.openxmlformats.org/officeDocument/2006/relationships/hyperlink" Target="https://drive.google.com/drive/folders/1pgmOG1TcEZaCJS1Qgodvd_6NGG-lg-zz" TargetMode="External"/><Relationship Id="rId85" Type="http://schemas.openxmlformats.org/officeDocument/2006/relationships/hyperlink" Target="https://drive.google.com/drive/folders/1prDiEzv1ml-gsZBmw9HB5nD0GNvCJpLD" TargetMode="External"/><Relationship Id="rId12" Type="http://schemas.openxmlformats.org/officeDocument/2006/relationships/hyperlink" Target="https://docs.google.com/document/d/1E2-DWj-vN44RBwv25gNmatY-zJ9iuZCrnXCcSIpe078/edit?tab=t.0" TargetMode="External"/><Relationship Id="rId17" Type="http://schemas.openxmlformats.org/officeDocument/2006/relationships/hyperlink" Target="https://drive.google.com/drive/folders/1o-cVIRRgz_Xrmi3-q3-qw7zu1CX4IAZE" TargetMode="External"/><Relationship Id="rId25" Type="http://schemas.openxmlformats.org/officeDocument/2006/relationships/hyperlink" Target="https://drive.google.com/drive/folders/1oFMpCruqgl7tOh1qklDPtUT8r79BQp3L" TargetMode="External"/><Relationship Id="rId33" Type="http://schemas.openxmlformats.org/officeDocument/2006/relationships/hyperlink" Target="https://drive.google.com/drive/folders/1oYKYcY_8frzKkk2bRVXjybyAFQeLMoqm" TargetMode="External"/><Relationship Id="rId38" Type="http://schemas.openxmlformats.org/officeDocument/2006/relationships/hyperlink" Target="https://drive.google.com/drive/folders/1oPiSOhwVYicwtMjKZ18zSMkt0TGay0sU" TargetMode="External"/><Relationship Id="rId46" Type="http://schemas.openxmlformats.org/officeDocument/2006/relationships/hyperlink" Target="https://drive.google.com/drive/folders/1ogxAaPD0xVPjVXjXJfPOUMTbKpumJqNX" TargetMode="External"/><Relationship Id="rId59" Type="http://schemas.openxmlformats.org/officeDocument/2006/relationships/hyperlink" Target="https://drive.google.com/drive/folders/1p9R7RMZOy6Uv7-OzT0VPo5USuBDzX1O6" TargetMode="External"/><Relationship Id="rId67" Type="http://schemas.openxmlformats.org/officeDocument/2006/relationships/hyperlink" Target="https://drive.google.com/drive/folders/1pMhkm9ZCOD6LewP318LqQnBttMIRHqKu" TargetMode="External"/><Relationship Id="rId103" Type="http://schemas.openxmlformats.org/officeDocument/2006/relationships/hyperlink" Target="https://drive.google.com/drive/folders/1oFBNTm3x3qxE4tvks6aidn_o0kgbABiU" TargetMode="External"/><Relationship Id="rId20" Type="http://schemas.openxmlformats.org/officeDocument/2006/relationships/hyperlink" Target="https://drive.google.com/drive/folders/1o3ogWb6UVKzG9WT0DLs0sJaWs8UXqwHm" TargetMode="External"/><Relationship Id="rId41" Type="http://schemas.openxmlformats.org/officeDocument/2006/relationships/hyperlink" Target="https://drive.google.com/drive/folders/1osdbUsjMWqgW83jr2CPFDGc7DT1I2Vgx" TargetMode="External"/><Relationship Id="rId54" Type="http://schemas.openxmlformats.org/officeDocument/2006/relationships/hyperlink" Target="https://drive.google.com/drive/folders/1pMhCnrSDb02tEq23tWCRA_G3JM7bqcLG" TargetMode="External"/><Relationship Id="rId62" Type="http://schemas.openxmlformats.org/officeDocument/2006/relationships/hyperlink" Target="https://drive.google.com/drive/folders/1p6W-6kjWQDvtr24rW5AV5q3K5yKgQPVa" TargetMode="External"/><Relationship Id="rId70" Type="http://schemas.openxmlformats.org/officeDocument/2006/relationships/hyperlink" Target="https://www.catell.se/images/1.62.2009221616/two-point-discriminator.pdf" TargetMode="External"/><Relationship Id="rId75" Type="http://schemas.openxmlformats.org/officeDocument/2006/relationships/hyperlink" Target="https://drive.google.com/drive/folders/1p_m2OoikPVhXBK2BOJkB10WAMI7WRyI2" TargetMode="External"/><Relationship Id="rId83" Type="http://schemas.openxmlformats.org/officeDocument/2006/relationships/hyperlink" Target="https://drive.google.com/drive/folders/1puvsPjXgRfmKNefmNxhwLqHYvv4teXiO" TargetMode="External"/><Relationship Id="rId88" Type="http://schemas.openxmlformats.org/officeDocument/2006/relationships/hyperlink" Target="https://drive.google.com/drive/folders/1plWQ7ffCFhURHyRgA1M22ZI1XpfhBn-Q" TargetMode="External"/><Relationship Id="rId91" Type="http://schemas.openxmlformats.org/officeDocument/2006/relationships/hyperlink" Target="https://drive.google.com/drive/folders/1pzThR2JVEvucInb4DTARNwOF4IyfM6SM" TargetMode="External"/><Relationship Id="rId96" Type="http://schemas.openxmlformats.org/officeDocument/2006/relationships/hyperlink" Target="https://drive.google.com/drive/folders/1nyn1YyL5JK4--6LRw5SrZRWU4Z6oy_4W" TargetMode="External"/><Relationship Id="rId1" Type="http://schemas.openxmlformats.org/officeDocument/2006/relationships/hyperlink" Target="https://drive.google.com/drive/folders/1o13of_xJCTbJEEPgVGvqqy63puUVLiRT" TargetMode="External"/><Relationship Id="rId6" Type="http://schemas.openxmlformats.org/officeDocument/2006/relationships/hyperlink" Target="https://drive.google.com/drive/folders/1ors6EmAOnc0jp1F_aSMFHXp1eUBcqaYK" TargetMode="External"/><Relationship Id="rId15" Type="http://schemas.openxmlformats.org/officeDocument/2006/relationships/hyperlink" Target="https://drive.google.com/drive/folders/1prP5UhG2zv--_BfPH8mzUKCqrxtMeCle" TargetMode="External"/><Relationship Id="rId23" Type="http://schemas.openxmlformats.org/officeDocument/2006/relationships/hyperlink" Target="https://drive.google.com/drive/folders/1oIwdq4MlDkx_PFBupy6yD9vpDZk-YI5n" TargetMode="External"/><Relationship Id="rId28" Type="http://schemas.openxmlformats.org/officeDocument/2006/relationships/hyperlink" Target="https://drive.google.com/drive/folders/1odr8NMvqup3vZrwyAt4dNZgXlX_D1af5" TargetMode="External"/><Relationship Id="rId36" Type="http://schemas.openxmlformats.org/officeDocument/2006/relationships/hyperlink" Target="https://drive.google.com/drive/folders/1oSK6NtdRt7w-MRxmZcNps5lu4tD4cotz" TargetMode="External"/><Relationship Id="rId49" Type="http://schemas.openxmlformats.org/officeDocument/2006/relationships/hyperlink" Target="https://drive.google.com/drive/folders/1p-CAloQyDNbERmhYrJ6w7TCiJETKtLGu" TargetMode="External"/><Relationship Id="rId57" Type="http://schemas.openxmlformats.org/officeDocument/2006/relationships/hyperlink" Target="https://drive.google.com/drive/folders/1pDgdvW-ukLRUfJqz44aW4NREk7jPc3gz" TargetMode="External"/><Relationship Id="rId10" Type="http://schemas.openxmlformats.org/officeDocument/2006/relationships/hyperlink" Target="https://docs.google.com/document/d/1E2-DWj-vN44RBwv25gNmatY-zJ9iuZCrnXCcSIpe078/edit?tab=t.0" TargetMode="External"/><Relationship Id="rId31" Type="http://schemas.openxmlformats.org/officeDocument/2006/relationships/hyperlink" Target="https://drive.google.com/drive/folders/1o_JnYif-QCohrPYfPp5GD5VHul4w7H0L" TargetMode="External"/><Relationship Id="rId44" Type="http://schemas.openxmlformats.org/officeDocument/2006/relationships/hyperlink" Target="https://drive.google.com/drive/folders/1okK61UNanqPjtCEb-B-MU11ozL9PvUiu" TargetMode="External"/><Relationship Id="rId52" Type="http://schemas.openxmlformats.org/officeDocument/2006/relationships/hyperlink" Target="https://drive.google.com/drive/folders/1ow3tQ8l92dnZzZZ9gwky45Yr4vZHZ4Vj" TargetMode="External"/><Relationship Id="rId60" Type="http://schemas.openxmlformats.org/officeDocument/2006/relationships/hyperlink" Target="https://drive.google.com/drive/folders/1p8nGCe44XkgqhopplbtAENDVouZjit9P" TargetMode="External"/><Relationship Id="rId65" Type="http://schemas.openxmlformats.org/officeDocument/2006/relationships/hyperlink" Target="https://drive.google.com/drive/folders/1p4KKX4ijAI177jwKmR5W0uXlYlglKCa5" TargetMode="External"/><Relationship Id="rId73" Type="http://schemas.openxmlformats.org/officeDocument/2006/relationships/hyperlink" Target="https://drive.google.com/drive/folders/1pYVt5E5GRpnVl20q9-MkH6_Z_Ov2BYuw" TargetMode="External"/><Relationship Id="rId78" Type="http://schemas.openxmlformats.org/officeDocument/2006/relationships/hyperlink" Target="https://drive.google.com/drive/folders/1pdolYgyKWB9TGGmLZW23XZ2-vK-LUmB9" TargetMode="External"/><Relationship Id="rId81" Type="http://schemas.openxmlformats.org/officeDocument/2006/relationships/hyperlink" Target="https://drive.google.com/drive/folders/1pj16ej9ov2MbpDcBkKwkmjr9GomEru_z" TargetMode="External"/><Relationship Id="rId86" Type="http://schemas.openxmlformats.org/officeDocument/2006/relationships/hyperlink" Target="https://drive.google.com/drive/folders/1pqweShpwLqsHYAR3hyECBOObVukFUjC5" TargetMode="External"/><Relationship Id="rId94" Type="http://schemas.openxmlformats.org/officeDocument/2006/relationships/hyperlink" Target="https://drive.google.com/drive/folders/1nz5RoKZ5uQAN272bWRJESC0xCkn4pJt_" TargetMode="External"/><Relationship Id="rId99" Type="http://schemas.openxmlformats.org/officeDocument/2006/relationships/hyperlink" Target="https://drive.google.com/drive/folders/1nvD_fN-F3dFIiQaTAbGI9qBcBbUetCqq" TargetMode="External"/><Relationship Id="rId101" Type="http://schemas.openxmlformats.org/officeDocument/2006/relationships/hyperlink" Target="https://drive.google.com/drive/folders/1ntNjkY7J1ueR1PNTmkBa5-sTEn7Rgi8E" TargetMode="External"/><Relationship Id="rId4" Type="http://schemas.openxmlformats.org/officeDocument/2006/relationships/hyperlink" Target="https://drive.google.com/drive/folders/1oYcztGq--DsLo43ndoslNpV5oVyysw0p" TargetMode="External"/><Relationship Id="rId9" Type="http://schemas.openxmlformats.org/officeDocument/2006/relationships/hyperlink" Target="https://drive.google.com/drive/folders/1pCmRAjTMVOj7QcKOMNZjhar6BEjpcVp_" TargetMode="External"/><Relationship Id="rId13" Type="http://schemas.openxmlformats.org/officeDocument/2006/relationships/hyperlink" Target="https://drive.google.com/drive/folders/1pYY5ECxKkJf1IWBUtspMBA_Zcnc_HQot" TargetMode="External"/><Relationship Id="rId18" Type="http://schemas.openxmlformats.org/officeDocument/2006/relationships/hyperlink" Target="https://drive.google.com/drive/folders/1ntwG9QOzOoDF04i0GfpvXNJ4p2GYf4Vh" TargetMode="External"/><Relationship Id="rId39" Type="http://schemas.openxmlformats.org/officeDocument/2006/relationships/hyperlink" Target="https://drive.google.com/drive/folders/1otJ8nFn3FIoh5nrAWRWwLsadKiVJHZVu" TargetMode="External"/><Relationship Id="rId34" Type="http://schemas.openxmlformats.org/officeDocument/2006/relationships/hyperlink" Target="https://drive.google.com/drive/folders/1oY5R9dGPcPGDg4Rw87pm8Vhyj-lyPnGV" TargetMode="External"/><Relationship Id="rId50" Type="http://schemas.openxmlformats.org/officeDocument/2006/relationships/hyperlink" Target="https://drive.google.com/drive/folders/1oyhA9tDeE-d-3J7JhpQMyArswM3fN4yh" TargetMode="External"/><Relationship Id="rId55" Type="http://schemas.openxmlformats.org/officeDocument/2006/relationships/hyperlink" Target="https://drive.google.com/drive/folders/1pLYDDppEg-mdl_tQI4zRAmqFaJQTq6S9" TargetMode="External"/><Relationship Id="rId76" Type="http://schemas.openxmlformats.org/officeDocument/2006/relationships/hyperlink" Target="https://drive.google.com/drive/folders/1pfP_pAJdCnk2bmpT_B0HG63jsrzZc9BF" TargetMode="External"/><Relationship Id="rId97" Type="http://schemas.openxmlformats.org/officeDocument/2006/relationships/hyperlink" Target="https://drive.google.com/drive/folders/1nyjYO0XOJr-OzWUKiXhnuNravX8CjDWy" TargetMode="External"/><Relationship Id="rId7" Type="http://schemas.openxmlformats.org/officeDocument/2006/relationships/hyperlink" Target="https://drive.google.com/drive/folders/1ozn7YoZAJglFbkc1Us0xdXXjn3eeQfna" TargetMode="External"/><Relationship Id="rId71" Type="http://schemas.openxmlformats.org/officeDocument/2006/relationships/hyperlink" Target="https://drive.google.com/drive/folders/1pU8cbVH6X0m_Ps7XCJMiQaGbSvndaCVT" TargetMode="External"/><Relationship Id="rId92" Type="http://schemas.openxmlformats.org/officeDocument/2006/relationships/hyperlink" Target="https://drive.google.com/drive/folders/1pxG4qi4B2VLPaE26oQABtkJ7AONMuMAz" TargetMode="External"/><Relationship Id="rId2" Type="http://schemas.openxmlformats.org/officeDocument/2006/relationships/hyperlink" Target="https://drive.google.com/drive/folders/1oI3Kjl8sqRFxxh6PlGwwZLQw8UvwuYHz" TargetMode="External"/><Relationship Id="rId29" Type="http://schemas.openxmlformats.org/officeDocument/2006/relationships/hyperlink" Target="https://drive.google.com/drive/folders/1ocPD3wj5-DLwYR4FzE_S1ODTlqAfwHi2" TargetMode="External"/><Relationship Id="rId24" Type="http://schemas.openxmlformats.org/officeDocument/2006/relationships/hyperlink" Target="https://drive.google.com/drive/folders/1oIm_DshitGCIV0jjGLODJ3KqZudQQsEu" TargetMode="External"/><Relationship Id="rId40" Type="http://schemas.openxmlformats.org/officeDocument/2006/relationships/hyperlink" Target="https://drive.google.com/drive/folders/1ot9KBybg6lmOzLn1bGvLKpxgIu-Y4GGD" TargetMode="External"/><Relationship Id="rId45" Type="http://schemas.openxmlformats.org/officeDocument/2006/relationships/hyperlink" Target="https://drive.google.com/drive/folders/1oihxkNL1czhQfq3wvJTb8V1tL4fMrLXl" TargetMode="External"/><Relationship Id="rId66" Type="http://schemas.openxmlformats.org/officeDocument/2006/relationships/hyperlink" Target="https://drive.google.com/drive/folders/1p4FHEnfQcpcUAqSeoVp7qN1ai6Y76qTj" TargetMode="External"/><Relationship Id="rId87" Type="http://schemas.openxmlformats.org/officeDocument/2006/relationships/hyperlink" Target="https://drive.google.com/drive/folders/1pnzuo5higXWtC96q6quqaCx4WBGplEjX" TargetMode="External"/><Relationship Id="rId61" Type="http://schemas.openxmlformats.org/officeDocument/2006/relationships/hyperlink" Target="https://drive.google.com/drive/folders/1p7nqaNSU76Yqp8Hao_f9R7JZ4T_OxQoX" TargetMode="External"/><Relationship Id="rId82" Type="http://schemas.openxmlformats.org/officeDocument/2006/relationships/hyperlink" Target="https://drive.google.com/drive/folders/1pjE3tfs0ZloirnAJ7k-VLJG1RJpigXlx" TargetMode="External"/><Relationship Id="rId19" Type="http://schemas.openxmlformats.org/officeDocument/2006/relationships/hyperlink" Target="https://drive.google.com/drive/folders/1o56EveTmrZt61qAw5LKDHibmC8SWlfQG" TargetMode="External"/><Relationship Id="rId14" Type="http://schemas.openxmlformats.org/officeDocument/2006/relationships/hyperlink" Target="https://docs.google.com/document/d/1E2-DWj-vN44RBwv25gNmatY-zJ9iuZCrnXCcSIpe078/edit?tab=t.0" TargetMode="External"/><Relationship Id="rId30" Type="http://schemas.openxmlformats.org/officeDocument/2006/relationships/hyperlink" Target="https://drive.google.com/drive/folders/1o_Y2U_npdvW2jZBzUmCszqEG8lwwNL4X" TargetMode="External"/><Relationship Id="rId35" Type="http://schemas.openxmlformats.org/officeDocument/2006/relationships/hyperlink" Target="https://drive.google.com/drive/folders/1oT7I1ssAV3sU2gES75z_MqgXsP2ERdBO" TargetMode="External"/><Relationship Id="rId56" Type="http://schemas.openxmlformats.org/officeDocument/2006/relationships/hyperlink" Target="https://drive.google.com/drive/folders/1pF3ELaT-zQ1WWCzvx0Zy7tyif_UwPTCk" TargetMode="External"/><Relationship Id="rId77" Type="http://schemas.openxmlformats.org/officeDocument/2006/relationships/hyperlink" Target="https://drive.google.com/drive/folders/1peBvGXrI4IFhtCjOxNJGhNZCRPP-0Osj" TargetMode="External"/><Relationship Id="rId100" Type="http://schemas.openxmlformats.org/officeDocument/2006/relationships/hyperlink" Target="https://drive.google.com/drive/folders/1nvABACCCo0L70g9IMIzCuq0nsMS2B-bi" TargetMode="External"/><Relationship Id="rId8" Type="http://schemas.openxmlformats.org/officeDocument/2006/relationships/hyperlink" Target="https://docs.google.com/presentation/d/1bm3TR6jAzm5vq26SLnvOCfndc8sazmmO/edit?usp=drive_link&amp;ouid=113967397258802219723&amp;rtpof=true&amp;sd=true" TargetMode="External"/><Relationship Id="rId51" Type="http://schemas.openxmlformats.org/officeDocument/2006/relationships/hyperlink" Target="https://drive.google.com/drive/folders/1oyKxE4QdGOjx5ZDzbtNrATz8Vt8OnD-k" TargetMode="External"/><Relationship Id="rId72" Type="http://schemas.openxmlformats.org/officeDocument/2006/relationships/hyperlink" Target="https://drive.google.com/drive/folders/1pU0UuheghwwVoEoDK5JNVLNm1ektj4Im" TargetMode="External"/><Relationship Id="rId93" Type="http://schemas.openxmlformats.org/officeDocument/2006/relationships/hyperlink" Target="https://drive.google.com/drive/folders/1o-_vH9-5E1S6mOE7_OgyX-ayzVqrcFHj" TargetMode="External"/><Relationship Id="rId98" Type="http://schemas.openxmlformats.org/officeDocument/2006/relationships/hyperlink" Target="https://drive.google.com/drive/folders/1nx1FnIxz8oFAW6UPOH99RPYwy2P3fe8A" TargetMode="External"/><Relationship Id="rId3" Type="http://schemas.openxmlformats.org/officeDocument/2006/relationships/hyperlink" Target="https://docs.google.com/document/d/1E2-DWj-vN44RBwv25gNmatY-zJ9iuZCrnXCcSIpe078/edit?tab=t.0"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s://drive.google.com/drive/folders/1qwCel-TiFZG-YVX0eywJze_qEqQuIWr8" TargetMode="External"/><Relationship Id="rId21" Type="http://schemas.openxmlformats.org/officeDocument/2006/relationships/hyperlink" Target="https://drive.google.com/drive/folders/1qapuahHwM6Vk-YCw6yzJQQ7RU1sU1b7B" TargetMode="External"/><Relationship Id="rId42" Type="http://schemas.openxmlformats.org/officeDocument/2006/relationships/hyperlink" Target="https://drive.google.com/drive/folders/1qzuv7iPExc0xwMRbDYcoVLdVUGrUX34p" TargetMode="External"/><Relationship Id="rId47" Type="http://schemas.openxmlformats.org/officeDocument/2006/relationships/hyperlink" Target="https://drive.google.com/drive/folders/1rBNs60kfz9m2xQFmEU-zc2gwuwj0UO6C" TargetMode="External"/><Relationship Id="rId63" Type="http://schemas.openxmlformats.org/officeDocument/2006/relationships/hyperlink" Target="https://drive.google.com/drive/folders/1rU5drvXbhudjf5UYZI_xPnDmIXCHUvHg" TargetMode="External"/><Relationship Id="rId68" Type="http://schemas.openxmlformats.org/officeDocument/2006/relationships/hyperlink" Target="https://drive.google.com/drive/folders/1rf5GLaAl2a8kGozOgJeigmsD066bPnej" TargetMode="External"/><Relationship Id="rId84" Type="http://schemas.openxmlformats.org/officeDocument/2006/relationships/hyperlink" Target="https://drive.google.com/drive/folders/1q49Jn-M9MTmZwPehfvjn2zlAbvdp_hl8" TargetMode="External"/><Relationship Id="rId89" Type="http://schemas.openxmlformats.org/officeDocument/2006/relationships/hyperlink" Target="https://drive.google.com/drive/folders/1q1glQpO2vbldAY5ZnlV_udmDZS57SFkH" TargetMode="External"/><Relationship Id="rId16" Type="http://schemas.openxmlformats.org/officeDocument/2006/relationships/hyperlink" Target="https://drive.google.com/drive/folders/1qgh_dt1sOWaHYvTnMYSiZI_7GAhi0BM1" TargetMode="External"/><Relationship Id="rId11" Type="http://schemas.openxmlformats.org/officeDocument/2006/relationships/hyperlink" Target="https://drive.google.com/drive/folders/1q1npQZa4ajE1Xx23F2Xi9bFfbex0ZSLd" TargetMode="External"/><Relationship Id="rId32" Type="http://schemas.openxmlformats.org/officeDocument/2006/relationships/hyperlink" Target="https://drive.google.com/drive/folders/1wf-KRDo-4xXspMfAFn6EMH-CP7-3EQyb" TargetMode="External"/><Relationship Id="rId37" Type="http://schemas.openxmlformats.org/officeDocument/2006/relationships/hyperlink" Target="https://drive.google.com/drive/folders/1qhNqhyORFfDxL5yoiQX0Eao00IuKEuvA" TargetMode="External"/><Relationship Id="rId53" Type="http://schemas.openxmlformats.org/officeDocument/2006/relationships/hyperlink" Target="https://drive.google.com/drive/folders/1rJQd_aRdTN4PePbjzceW-ZO5BhRoCbOA" TargetMode="External"/><Relationship Id="rId58" Type="http://schemas.openxmlformats.org/officeDocument/2006/relationships/hyperlink" Target="https://drive.google.com/drive/folders/1rCfThSwJ5LrhiGinJPCN6gHO6DPURlyt" TargetMode="External"/><Relationship Id="rId74" Type="http://schemas.openxmlformats.org/officeDocument/2006/relationships/hyperlink" Target="https://drive.google.com/drive/folders/1rnDSRTJxGWxi9CCmftqjd4ijaAE49HbQ" TargetMode="External"/><Relationship Id="rId79" Type="http://schemas.openxmlformats.org/officeDocument/2006/relationships/hyperlink" Target="https://drive.google.com/drive/folders/1rfvWu9urTSihUTlF0A_9lPEghYR6rJO7" TargetMode="External"/><Relationship Id="rId5" Type="http://schemas.openxmlformats.org/officeDocument/2006/relationships/hyperlink" Target="https://drive.google.com/drive/folders/1qybhKJFNX541jqDGQCpSQi4dcul2OE5J" TargetMode="External"/><Relationship Id="rId90" Type="http://schemas.openxmlformats.org/officeDocument/2006/relationships/hyperlink" Target="https://drive.google.com/drive/folders/1q-ctJMzotuDtL7dedWWXOWy45VWY6UQh" TargetMode="External"/><Relationship Id="rId22" Type="http://schemas.openxmlformats.org/officeDocument/2006/relationships/hyperlink" Target="https://drive.google.com/drive/folders/1q_jXybZTp2KzW8ztt0bx8aM9QQU6m09T" TargetMode="External"/><Relationship Id="rId27" Type="http://schemas.openxmlformats.org/officeDocument/2006/relationships/hyperlink" Target="https://drive.google.com/drive/folders/1qvLYyV7cgrwD4-chb2H6tSw5_fEOzF5G" TargetMode="External"/><Relationship Id="rId43" Type="http://schemas.openxmlformats.org/officeDocument/2006/relationships/hyperlink" Target="https://drive.google.com/drive/folders/1qy1tjKwBR6zhS3spOKJ14RP8h677Y3jX" TargetMode="External"/><Relationship Id="rId48" Type="http://schemas.openxmlformats.org/officeDocument/2006/relationships/hyperlink" Target="https://drive.google.com/drive/folders/1rB7LzKqRfjmvxbYYREILQyw0yyEMP1SG" TargetMode="External"/><Relationship Id="rId64" Type="http://schemas.openxmlformats.org/officeDocument/2006/relationships/hyperlink" Target="https://drive.google.com/drive/folders/1rakfRdPxYzu2Q7zF44L9lhONQYloWKlV" TargetMode="External"/><Relationship Id="rId69" Type="http://schemas.openxmlformats.org/officeDocument/2006/relationships/hyperlink" Target="https://drive.google.com/drive/folders/1re0_pE4BXAy9yGMnyFiYlg1ef2_XqatU" TargetMode="External"/><Relationship Id="rId8" Type="http://schemas.openxmlformats.org/officeDocument/2006/relationships/hyperlink" Target="https://drive.google.com/drive/folders/1re-QqCKykUI6WO8d6i02OvRv_l4MGPb6" TargetMode="External"/><Relationship Id="rId51" Type="http://schemas.openxmlformats.org/officeDocument/2006/relationships/hyperlink" Target="https://drive.google.com/drive/folders/1rP66UBQlYJNPA7gkaeX6cQRAgPC1m4YL" TargetMode="External"/><Relationship Id="rId72" Type="http://schemas.openxmlformats.org/officeDocument/2006/relationships/hyperlink" Target="https://drive.google.com/drive/folders/1roXLqz2ZhouYJ18JNs-ViWY_TXnA1NOf" TargetMode="External"/><Relationship Id="rId80" Type="http://schemas.openxmlformats.org/officeDocument/2006/relationships/hyperlink" Target="https://drive.google.com/drive/folders/1rxHanGQCDxOi0o4Sydkt4d8xNPhcnc7G" TargetMode="External"/><Relationship Id="rId85" Type="http://schemas.openxmlformats.org/officeDocument/2006/relationships/hyperlink" Target="https://drive.google.com/drive/folders/1q3gdveancVfuj7-Qda3DHsKtftocwN-U" TargetMode="External"/><Relationship Id="rId93" Type="http://schemas.openxmlformats.org/officeDocument/2006/relationships/drawing" Target="../drawings/drawing1.xml"/><Relationship Id="rId3" Type="http://schemas.openxmlformats.org/officeDocument/2006/relationships/hyperlink" Target="https://drive.google.com/drive/folders/1qTEIlH_GlZYZj0WTufJlhURcuGLc28rk" TargetMode="External"/><Relationship Id="rId12" Type="http://schemas.openxmlformats.org/officeDocument/2006/relationships/hyperlink" Target="https://drive.google.com/drive/folders/1qKnHhp3WCFvqo-3Sc8RUtwxJjcKaX1M2" TargetMode="External"/><Relationship Id="rId17" Type="http://schemas.openxmlformats.org/officeDocument/2006/relationships/hyperlink" Target="https://drive.google.com/drive/folders/1qfMZKM5g-VK3JJZ__nTgItCC84UKlC3J" TargetMode="External"/><Relationship Id="rId25" Type="http://schemas.openxmlformats.org/officeDocument/2006/relationships/hyperlink" Target="https://drive.google.com/drive/folders/1qV4mRxbyv7QNTLbOM5OF-iMI4lHc7Rde" TargetMode="External"/><Relationship Id="rId33" Type="http://schemas.openxmlformats.org/officeDocument/2006/relationships/hyperlink" Target="https://drive.google.com/drive/folders/1qmPwmCj8eWZaHX4n39I4e6pyEZybntIf" TargetMode="External"/><Relationship Id="rId38" Type="http://schemas.openxmlformats.org/officeDocument/2006/relationships/hyperlink" Target="https://drive.google.com/drive/folders/1qgwqHh91OgTg84-GWLjRNu09rpo2EQPN" TargetMode="External"/><Relationship Id="rId46" Type="http://schemas.openxmlformats.org/officeDocument/2006/relationships/hyperlink" Target="https://drive.google.com/drive/folders/1rA75zk8u4uetiCRXRqQJ1QT-80xaIhMz" TargetMode="External"/><Relationship Id="rId59" Type="http://schemas.openxmlformats.org/officeDocument/2006/relationships/hyperlink" Target="https://drive.google.com/drive/folders/1rSkt8uBzY92_XX4uQhaC4UL4ppiXjzne" TargetMode="External"/><Relationship Id="rId67" Type="http://schemas.openxmlformats.org/officeDocument/2006/relationships/hyperlink" Target="https://drive.google.com/drive/folders/1rbkn5_boDv1ZgEW9JtuUJhbjf92-xJYe" TargetMode="External"/><Relationship Id="rId20" Type="http://schemas.openxmlformats.org/officeDocument/2006/relationships/hyperlink" Target="https://drive.google.com/drive/folders/1qbKwcwaq13KL70F0gWIRO8-UkJdn0CKU" TargetMode="External"/><Relationship Id="rId41" Type="http://schemas.openxmlformats.org/officeDocument/2006/relationships/hyperlink" Target="https://drive.google.com/drive/folders/1r6J97oVucFPd-ZyEazGG9_-hnxmqiwhI" TargetMode="External"/><Relationship Id="rId54" Type="http://schemas.openxmlformats.org/officeDocument/2006/relationships/hyperlink" Target="https://drive.google.com/drive/folders/1rIJ8QhBWaV3NBaUUDWaDA14JEmKCSKrE" TargetMode="External"/><Relationship Id="rId62" Type="http://schemas.openxmlformats.org/officeDocument/2006/relationships/hyperlink" Target="https://drive.google.com/drive/folders/1rUVDdPaj8MELRI1QVcq-F1wmOpOpXu3D" TargetMode="External"/><Relationship Id="rId70" Type="http://schemas.openxmlformats.org/officeDocument/2006/relationships/hyperlink" Target="https://drive.google.com/drive/folders/1rrv8-ya_qdBULb-gLgGgHR0JLm2JtJyr" TargetMode="External"/><Relationship Id="rId75" Type="http://schemas.openxmlformats.org/officeDocument/2006/relationships/hyperlink" Target="https://drive.google.com/drive/folders/1rkKqt6JkMyJ5s570_ilgI-HqbtPUK3qO" TargetMode="External"/><Relationship Id="rId83" Type="http://schemas.openxmlformats.org/officeDocument/2006/relationships/hyperlink" Target="https://drive.google.com/drive/folders/1q7BpiZCT9uKeqDi6_SrjRiaEkEhP8QVE" TargetMode="External"/><Relationship Id="rId88" Type="http://schemas.openxmlformats.org/officeDocument/2006/relationships/hyperlink" Target="https://drive.google.com/drive/folders/1q2VijghmGPmifu9BeFvm5ppzrBPWy16O" TargetMode="External"/><Relationship Id="rId91" Type="http://schemas.openxmlformats.org/officeDocument/2006/relationships/hyperlink" Target="https://drive.google.com/drive/folders/1qT0c4HZov0g3uLk2JGhrr_Wyl0z5XrEB" TargetMode="External"/><Relationship Id="rId1" Type="http://schemas.openxmlformats.org/officeDocument/2006/relationships/hyperlink" Target="https://drive.google.com/drive/folders/1qDFM9jQFk1OAsSR6EQco2UVXfyN5_Aym" TargetMode="External"/><Relationship Id="rId6" Type="http://schemas.openxmlformats.org/officeDocument/2006/relationships/hyperlink" Target="https://drive.google.com/drive/folders/1rQ4K5Ssm8-74LRUmXT1cVXYZIAgDQZlJ" TargetMode="External"/><Relationship Id="rId15" Type="http://schemas.openxmlformats.org/officeDocument/2006/relationships/hyperlink" Target="https://drive.google.com/drive/folders/1qDngT8-Mws4UtH3ZTjuiJILGYqP2jm96" TargetMode="External"/><Relationship Id="rId23" Type="http://schemas.openxmlformats.org/officeDocument/2006/relationships/hyperlink" Target="https://drive.google.com/drive/folders/1qY42wW3G9sS4MhP7zt1v3Lao43EH6kdq" TargetMode="External"/><Relationship Id="rId28" Type="http://schemas.openxmlformats.org/officeDocument/2006/relationships/hyperlink" Target="https://drive.google.com/drive/folders/1qslB0aRbZKY83UMU4RghH4pHlTHwLgfb" TargetMode="External"/><Relationship Id="rId36" Type="http://schemas.openxmlformats.org/officeDocument/2006/relationships/hyperlink" Target="https://drive.google.com/drive/folders/1qihXaN8vBoQFcBuiv2xMuLuNQbmsyiTc" TargetMode="External"/><Relationship Id="rId49" Type="http://schemas.openxmlformats.org/officeDocument/2006/relationships/hyperlink" Target="https://drive.google.com/drive/folders/1rRmwjUVMkH23FHelA18WslTmCDJsEaau" TargetMode="External"/><Relationship Id="rId57" Type="http://schemas.openxmlformats.org/officeDocument/2006/relationships/hyperlink" Target="https://drive.google.com/drive/folders/1rEoQqaXb0KbtN_7DOq2to-MtqC8Gip2P" TargetMode="External"/><Relationship Id="rId10" Type="http://schemas.openxmlformats.org/officeDocument/2006/relationships/hyperlink" Target="https://drive.google.com/drive/folders/1qCSohUSyJWYQmlD8yD8aGGmWOUVLZPJa" TargetMode="External"/><Relationship Id="rId31" Type="http://schemas.openxmlformats.org/officeDocument/2006/relationships/hyperlink" Target="https://drive.google.com/drive/folders/1At2gtuCDROadOJb5XDphDSJOoNwuJs2w" TargetMode="External"/><Relationship Id="rId44" Type="http://schemas.openxmlformats.org/officeDocument/2006/relationships/hyperlink" Target="https://drive.google.com/drive/folders/1qwdFk9AwGCLiSdjqye0DbR4vpnLyUgfK" TargetMode="External"/><Relationship Id="rId52" Type="http://schemas.openxmlformats.org/officeDocument/2006/relationships/hyperlink" Target="https://drive.google.com/drive/folders/1rOSFSWlKqbVmEYxGYBSq7l0e6ERihnhZ" TargetMode="External"/><Relationship Id="rId60" Type="http://schemas.openxmlformats.org/officeDocument/2006/relationships/hyperlink" Target="https://drive.google.com/drive/folders/1rXDyktAktJRhNPav2VmJfdYNmjHJRiUa" TargetMode="External"/><Relationship Id="rId65" Type="http://schemas.openxmlformats.org/officeDocument/2006/relationships/hyperlink" Target="https://drive.google.com/drive/folders/1rYtgRYtC9gDQB1zZjbS260Zi6NW93ij6" TargetMode="External"/><Relationship Id="rId73" Type="http://schemas.openxmlformats.org/officeDocument/2006/relationships/hyperlink" Target="https://drive.google.com/drive/folders/1rno5LfaeCxaOnjzHx2dbBwNs7mjyNdgn" TargetMode="External"/><Relationship Id="rId78" Type="http://schemas.openxmlformats.org/officeDocument/2006/relationships/hyperlink" Target="https://drive.google.com/drive/folders/1rgMJyQpZj1fdbadPjxvqBpO0E9vtoMqg" TargetMode="External"/><Relationship Id="rId81" Type="http://schemas.openxmlformats.org/officeDocument/2006/relationships/hyperlink" Target="https://drive.google.com/drive/folders/1rtVUs9zWVLfWK4yxl4qzRA69oHLQ7kFt" TargetMode="External"/><Relationship Id="rId86" Type="http://schemas.openxmlformats.org/officeDocument/2006/relationships/hyperlink" Target="https://drive.google.com/drive/folders/1q3C_JZtjkNoNLMZq7fSvHdw3lIcZicpA" TargetMode="External"/><Relationship Id="rId4" Type="http://schemas.openxmlformats.org/officeDocument/2006/relationships/hyperlink" Target="https://drive.google.com/drive/folders/1qkIIY9QxP2M5rpF_gBy4X27VN_lNvMcC" TargetMode="External"/><Relationship Id="rId9" Type="http://schemas.openxmlformats.org/officeDocument/2006/relationships/hyperlink" Target="https://drive.google.com/drive/folders/1rkM3KCnkE6pGkIJNAxsrtFV2_EVTQuZ0" TargetMode="External"/><Relationship Id="rId13" Type="http://schemas.openxmlformats.org/officeDocument/2006/relationships/hyperlink" Target="https://drive.google.com/drive/folders/1qFs00daMtBeXIyYgJT5l3_nm_6PZIf8y" TargetMode="External"/><Relationship Id="rId18" Type="http://schemas.openxmlformats.org/officeDocument/2006/relationships/hyperlink" Target="https://drive.google.com/drive/folders/1qcmiISYqNUykTyBd_kNxoxGb_XFQB4kk" TargetMode="External"/><Relationship Id="rId39" Type="http://schemas.openxmlformats.org/officeDocument/2006/relationships/hyperlink" Target="https://drive.google.com/drive/folders/1r6brRAqZ6TYSR5G-0P-gzvZNVZbn_bCh" TargetMode="External"/><Relationship Id="rId34" Type="http://schemas.openxmlformats.org/officeDocument/2006/relationships/hyperlink" Target="https://drive.google.com/drive/folders/1qmHuAwBp-vRfh7_MStu8J3h1aocuLdfh" TargetMode="External"/><Relationship Id="rId50" Type="http://schemas.openxmlformats.org/officeDocument/2006/relationships/hyperlink" Target="https://drive.google.com/drive/folders/1rPoelk88uvTNT1jxJHHMM8wpKUlXjs1j" TargetMode="External"/><Relationship Id="rId55" Type="http://schemas.openxmlformats.org/officeDocument/2006/relationships/hyperlink" Target="https://drive.google.com/drive/folders/1rG6oAylxpf6OB7wCJgUn2wZdK68DyC7C" TargetMode="External"/><Relationship Id="rId76" Type="http://schemas.openxmlformats.org/officeDocument/2006/relationships/hyperlink" Target="https://drive.google.com/drive/folders/1rjq1G7ydw6vsgrIQUAuPfReefd0R5z9V" TargetMode="External"/><Relationship Id="rId7" Type="http://schemas.openxmlformats.org/officeDocument/2006/relationships/hyperlink" Target="https://drive.google.com/drive/folders/1rF0bp2DVqX5fJHeZjVafZCxu0KNPxfh1" TargetMode="External"/><Relationship Id="rId71" Type="http://schemas.openxmlformats.org/officeDocument/2006/relationships/hyperlink" Target="https://drive.google.com/drive/folders/1rpKTrhOLgOpvt6qemZyGez-LX6mrFeBQ" TargetMode="External"/><Relationship Id="rId92" Type="http://schemas.openxmlformats.org/officeDocument/2006/relationships/hyperlink" Target="https://drive.google.com/drive/folders/1q57ThLK76cXPsE1KCtZqHjX9zmVVa7ID" TargetMode="External"/><Relationship Id="rId2" Type="http://schemas.openxmlformats.org/officeDocument/2006/relationships/hyperlink" Target="https://drive.google.com/drive/folders/1qeTTafr-oPGY2fu_kPByo4LvOWKNxtXg" TargetMode="External"/><Relationship Id="rId29" Type="http://schemas.openxmlformats.org/officeDocument/2006/relationships/hyperlink" Target="https://drive.google.com/drive/folders/1qs7I8uSTY3_CNxw5fLpYg1Uvz1mlWKfq" TargetMode="External"/><Relationship Id="rId24" Type="http://schemas.openxmlformats.org/officeDocument/2006/relationships/hyperlink" Target="https://drive.google.com/drive/folders/1qVC8Zu7TrQrStSxUgPTgPjFnZdGLAuJd" TargetMode="External"/><Relationship Id="rId40" Type="http://schemas.openxmlformats.org/officeDocument/2006/relationships/hyperlink" Target="https://drive.google.com/drive/folders/1r6ZSkKTDwszeFu_4ntTY8D1VMKYgzSI6" TargetMode="External"/><Relationship Id="rId45" Type="http://schemas.openxmlformats.org/officeDocument/2006/relationships/hyperlink" Target="https://drive.google.com/drive/folders/1qwPOPQtcp-lPU5W2xdvAK-gxHx1I_0-s" TargetMode="External"/><Relationship Id="rId66" Type="http://schemas.openxmlformats.org/officeDocument/2006/relationships/hyperlink" Target="https://drive.google.com/drive/folders/1rdnuygnW9PlFbwSUV-qfLEGapaI8GZCZ" TargetMode="External"/><Relationship Id="rId87" Type="http://schemas.openxmlformats.org/officeDocument/2006/relationships/hyperlink" Target="https://drive.google.com/drive/folders/1q2g5edty9VazZMis3RCRXUjOkOHXMtUA" TargetMode="External"/><Relationship Id="rId61" Type="http://schemas.openxmlformats.org/officeDocument/2006/relationships/hyperlink" Target="https://drive.google.com/drive/folders/1rUp3luDK8Zo5ofkAJ0JQklEIwa2qdXYt" TargetMode="External"/><Relationship Id="rId82" Type="http://schemas.openxmlformats.org/officeDocument/2006/relationships/hyperlink" Target="https://drive.google.com/drive/folders/1_JTcwI3GyyDkqL-4biYghSqh4ThYex4K" TargetMode="External"/><Relationship Id="rId19" Type="http://schemas.openxmlformats.org/officeDocument/2006/relationships/hyperlink" Target="https://drive.google.com/drive/folders/1qbrSfJyMI7NnA1EN_DXeBSyb5Oiz9UFA" TargetMode="External"/><Relationship Id="rId14" Type="http://schemas.openxmlformats.org/officeDocument/2006/relationships/hyperlink" Target="https://drive.google.com/drive/folders/1qETYx8IKLRwTO2gEcaf_TTFCZrgJrwiy" TargetMode="External"/><Relationship Id="rId30" Type="http://schemas.openxmlformats.org/officeDocument/2006/relationships/hyperlink" Target="https://drive.google.com/drive/folders/15mIaSs350lEaLRNg4l3p3akmkT9BHRw2" TargetMode="External"/><Relationship Id="rId35" Type="http://schemas.openxmlformats.org/officeDocument/2006/relationships/hyperlink" Target="https://drive.google.com/drive/folders/1qjPL0YI3nTZyqKotNB3bXyQewB86OSXQ" TargetMode="External"/><Relationship Id="rId56" Type="http://schemas.openxmlformats.org/officeDocument/2006/relationships/hyperlink" Target="https://drive.google.com/drive/folders/1rFIGojFglEIzw6ddODZ3RZtUu00eVpSv" TargetMode="External"/><Relationship Id="rId77" Type="http://schemas.openxmlformats.org/officeDocument/2006/relationships/hyperlink" Target="https://drive.google.com/drive/folders/1rixRjjq9I8NQ-hSWa5v_mSsWnX-a8bzN"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s://drive.google.com/drive/folders/1sqoNH2EqjKN_CN1vpEEWn4IbCMR8K_t3" TargetMode="External"/><Relationship Id="rId21" Type="http://schemas.openxmlformats.org/officeDocument/2006/relationships/hyperlink" Target="https://drive.google.com/file/d/10Wh6c_m3StmDZh7wwHoUioMvnhydh-k4/view?usp=drive_link" TargetMode="External"/><Relationship Id="rId42" Type="http://schemas.openxmlformats.org/officeDocument/2006/relationships/hyperlink" Target="https://drive.google.com/drive/folders/1tgW0K1tq98RO-zn3Y3OFo3vM1CMkph5j" TargetMode="External"/><Relationship Id="rId63" Type="http://schemas.openxmlformats.org/officeDocument/2006/relationships/hyperlink" Target="https://drive.google.com/drive/folders/1s4puTV-Bb_eVWyMNlqFVde8LzBstSL_F" TargetMode="External"/><Relationship Id="rId84" Type="http://schemas.openxmlformats.org/officeDocument/2006/relationships/hyperlink" Target="https://drive.google.com/file/d/1oODjOIuzvFlTkZiLCv2Khj3UvIfwDJne/view?usp=drive_link" TargetMode="External"/><Relationship Id="rId138" Type="http://schemas.openxmlformats.org/officeDocument/2006/relationships/hyperlink" Target="https://drive.google.com/drive/folders/1t7Zs7Ya_PWZfYuLdjBWu5G3BiyY9-IDA" TargetMode="External"/><Relationship Id="rId107" Type="http://schemas.openxmlformats.org/officeDocument/2006/relationships/hyperlink" Target="https://drive.google.com/drive/folders/1tfNFs_0buB_6RKUZC4H5lskowwciMmeZ" TargetMode="External"/><Relationship Id="rId11" Type="http://schemas.openxmlformats.org/officeDocument/2006/relationships/hyperlink" Target="https://drive.google.com/file/d/18umyOqmeeXYmcFkttgTjZoSB0eSH6Zs-/view?usp=drive_link" TargetMode="External"/><Relationship Id="rId32" Type="http://schemas.openxmlformats.org/officeDocument/2006/relationships/hyperlink" Target="https://drive.google.com/drive/folders/1tKMFsAJJ1Yu3ccAZJbLg6FSYf7xKkuqF" TargetMode="External"/><Relationship Id="rId37" Type="http://schemas.openxmlformats.org/officeDocument/2006/relationships/hyperlink" Target="https://drive.google.com/file/d/1Oxk1s3OIFAICkPdX1D4yzx12ztRwWBja/view?usp=drive_link" TargetMode="External"/><Relationship Id="rId53" Type="http://schemas.openxmlformats.org/officeDocument/2006/relationships/hyperlink" Target="https://drive.google.com/drive/folders/1sQ5gRHUeBEbMN8ad2GmuswfWw-f6vLDv" TargetMode="External"/><Relationship Id="rId58" Type="http://schemas.openxmlformats.org/officeDocument/2006/relationships/hyperlink" Target="https://drive.google.com/file/d/1MdzfXfcprb0jCeMlKQFijWHXzZf-75-Q/view?usp=drive_link" TargetMode="External"/><Relationship Id="rId74" Type="http://schemas.openxmlformats.org/officeDocument/2006/relationships/hyperlink" Target="https://drive.google.com/file/d/1zOMlWyVeDAJIm4i-HnWQwrikNwI0wc0H/view?usp=drive_link" TargetMode="External"/><Relationship Id="rId79" Type="http://schemas.openxmlformats.org/officeDocument/2006/relationships/hyperlink" Target="https://drive.google.com/drive/folders/1tPzEscqARTZeYosXDqjGId8RmOqOY5v7" TargetMode="External"/><Relationship Id="rId102" Type="http://schemas.openxmlformats.org/officeDocument/2006/relationships/hyperlink" Target="https://drive.google.com/drive/folders/1sjOf1m4gnEWYoBiUnUW1Jmo7FEfT3gCd" TargetMode="External"/><Relationship Id="rId123" Type="http://schemas.openxmlformats.org/officeDocument/2006/relationships/hyperlink" Target="https://drive.google.com/drive/folders/1sxy_f0BFlYMSdmATgL1ByxBiU17yuZu4" TargetMode="External"/><Relationship Id="rId128" Type="http://schemas.openxmlformats.org/officeDocument/2006/relationships/hyperlink" Target="https://drive.google.com/drive/folders/1ssVwflJsD0bYFZRhcLeRkw2v7e1NgBaD" TargetMode="External"/><Relationship Id="rId5" Type="http://schemas.openxmlformats.org/officeDocument/2006/relationships/hyperlink" Target="https://drive.google.com/drive/folders/1sSVlAfxmTMoGHagJgPl2y98mknKNctTN" TargetMode="External"/><Relationship Id="rId90" Type="http://schemas.openxmlformats.org/officeDocument/2006/relationships/hyperlink" Target="https://drive.google.com/file/d/1EcAgeBKOGsL-aQEzXVCslKeg4o6OYPsv/view?usp=drive_link" TargetMode="External"/><Relationship Id="rId95" Type="http://schemas.openxmlformats.org/officeDocument/2006/relationships/hyperlink" Target="https://drive.google.com/drive/folders/1tQ7xFc-Z_Wud6t0eTQKEIGv0CkbcobIn" TargetMode="External"/><Relationship Id="rId22" Type="http://schemas.openxmlformats.org/officeDocument/2006/relationships/hyperlink" Target="https://drive.google.com/drive/folders/1tTq9NTwaJ-DHFf541UvgVBOZvCKeEHmT" TargetMode="External"/><Relationship Id="rId27" Type="http://schemas.openxmlformats.org/officeDocument/2006/relationships/hyperlink" Target="https://drive.google.com/file/d/1NER8dw4qQ4wQFf17ysunoN-IN8ZuIxt-/view?usp=drive_link" TargetMode="External"/><Relationship Id="rId43" Type="http://schemas.openxmlformats.org/officeDocument/2006/relationships/hyperlink" Target="https://drive.google.com/drive/folders/1rz_iD3kSs7A4KeCx2PgcbFPB5qNe5gMk" TargetMode="External"/><Relationship Id="rId48" Type="http://schemas.openxmlformats.org/officeDocument/2006/relationships/hyperlink" Target="https://drive.google.com/drive/folders/1tVh994s4UIrArP3j_V0anQAc5dqVN8OH" TargetMode="External"/><Relationship Id="rId64" Type="http://schemas.openxmlformats.org/officeDocument/2006/relationships/hyperlink" Target="https://drive.google.com/file/d/1e3ZuEbPKX7EVNSTmnDyWabyAUBgxayqX/view?usp=drive_link" TargetMode="External"/><Relationship Id="rId69" Type="http://schemas.openxmlformats.org/officeDocument/2006/relationships/hyperlink" Target="https://drive.google.com/drive/folders/1sSn4Q3tdfGePV9m6M3wh3W9GUr2V76hG" TargetMode="External"/><Relationship Id="rId113" Type="http://schemas.openxmlformats.org/officeDocument/2006/relationships/hyperlink" Target="https://drive.google.com/drive/folders/1tkcJSxNQBXru20AlfLfkO14BuTKYQAPD" TargetMode="External"/><Relationship Id="rId118" Type="http://schemas.openxmlformats.org/officeDocument/2006/relationships/hyperlink" Target="https://drive.google.com/drive/folders/1sqM7nToSDmiFghVXPJoe-SZbQb6aKqHl" TargetMode="External"/><Relationship Id="rId134" Type="http://schemas.openxmlformats.org/officeDocument/2006/relationships/hyperlink" Target="https://drive.google.com/drive/folders/1s-LgFOTwC6lbU5dQgELdLZYv85aUu4Js" TargetMode="External"/><Relationship Id="rId139" Type="http://schemas.openxmlformats.org/officeDocument/2006/relationships/hyperlink" Target="https://drive.google.com/drive/folders/1t7JNFMJG2XmTDtgzew-v-yfMyPexYx2y" TargetMode="External"/><Relationship Id="rId80" Type="http://schemas.openxmlformats.org/officeDocument/2006/relationships/hyperlink" Target="https://drive.google.com/file/d/1FKwx6eALIHkuUOkQXyyHL6-Arx3gt6rL/view?usp=drive_link" TargetMode="External"/><Relationship Id="rId85" Type="http://schemas.openxmlformats.org/officeDocument/2006/relationships/hyperlink" Target="https://drive.google.com/drive/folders/1sWPjXDqh2r3m1Sx9OVQfbfArCCeH35FN" TargetMode="External"/><Relationship Id="rId12" Type="http://schemas.openxmlformats.org/officeDocument/2006/relationships/hyperlink" Target="https://drive.google.com/drive/folders/1tzAaMqWjvTMViF4ekbNUMmcm0LLuHQIJ" TargetMode="External"/><Relationship Id="rId17" Type="http://schemas.openxmlformats.org/officeDocument/2006/relationships/hyperlink" Target="https://drive.google.com/file/d/1GtMIZoZop0-mHw_DWumoOOAXexuF9rCB/view?usp=drive_link" TargetMode="External"/><Relationship Id="rId33" Type="http://schemas.openxmlformats.org/officeDocument/2006/relationships/hyperlink" Target="https://drive.google.com/file/d/18umyOqmeeXYmcFkttgTjZoSB0eSH6Zs-/view?usp=drive_link" TargetMode="External"/><Relationship Id="rId38" Type="http://schemas.openxmlformats.org/officeDocument/2006/relationships/hyperlink" Target="https://drive.google.com/drive/folders/1tM2UixQVkFFXAn00rMUWSWhorKBoShUy" TargetMode="External"/><Relationship Id="rId59" Type="http://schemas.openxmlformats.org/officeDocument/2006/relationships/hyperlink" Target="https://drive.google.com/drive/folders/1sPJ5GY3VbXQbL4pBMflLNdr6Doh8i9Py" TargetMode="External"/><Relationship Id="rId103" Type="http://schemas.openxmlformats.org/officeDocument/2006/relationships/hyperlink" Target="https://drive.google.com/drive/folders/1shRF91_ePZ2Ss7dCpA9pd_NlGjnvRoBV" TargetMode="External"/><Relationship Id="rId108" Type="http://schemas.openxmlformats.org/officeDocument/2006/relationships/hyperlink" Target="https://drive.google.com/drive/folders/1tn4k2rWo7oq-QJrPg6XliI8xrmLWxwmZ" TargetMode="External"/><Relationship Id="rId124" Type="http://schemas.openxmlformats.org/officeDocument/2006/relationships/hyperlink" Target="https://drive.google.com/drive/folders/1svs1cgUjK2rv8aikTKzJAR1CBHH5YGdD" TargetMode="External"/><Relationship Id="rId129" Type="http://schemas.openxmlformats.org/officeDocument/2006/relationships/hyperlink" Target="https://drive.google.com/drive/folders/1t-t-mf5E3Tp__Ppf5XrQo_Jgf0zD4-4u" TargetMode="External"/><Relationship Id="rId54" Type="http://schemas.openxmlformats.org/officeDocument/2006/relationships/hyperlink" Target="https://drive.google.com/file/d/1MdzfXfcprb0jCeMlKQFijWHXzZf-75-Q/view?usp=drive_link" TargetMode="External"/><Relationship Id="rId70" Type="http://schemas.openxmlformats.org/officeDocument/2006/relationships/hyperlink" Target="https://drive.google.com/file/d/1e3ZuEbPKX7EVNSTmnDyWabyAUBgxayqX/view?usp=drive_link" TargetMode="External"/><Relationship Id="rId75" Type="http://schemas.openxmlformats.org/officeDocument/2006/relationships/hyperlink" Target="https://drive.google.com/drive/folders/1tL3qK010ZRyNdKrYYxvxH_Z8Dkxd80vP" TargetMode="External"/><Relationship Id="rId91" Type="http://schemas.openxmlformats.org/officeDocument/2006/relationships/hyperlink" Target="https://drive.google.com/drive/folders/1tP4bOSgbnesetVxoXgtPaseAZkaIJOkh" TargetMode="External"/><Relationship Id="rId96" Type="http://schemas.openxmlformats.org/officeDocument/2006/relationships/hyperlink" Target="https://drive.google.com/file/d/1CtQCMueQiwX-Ro2li-Yw7ROWxpoTkKtT/view?usp=drive_link" TargetMode="External"/><Relationship Id="rId140" Type="http://schemas.openxmlformats.org/officeDocument/2006/relationships/hyperlink" Target="https://drive.google.com/drive/folders/1t7A8lTrVuKJCVAYvDQTPMqD0ZFV0wpB4" TargetMode="External"/><Relationship Id="rId1" Type="http://schemas.openxmlformats.org/officeDocument/2006/relationships/hyperlink" Target="https://drive.google.com/file/d/1-jookHhq_UYMebFHrqjO_kkTDLuZNPBD/view?usp=drive_link" TargetMode="External"/><Relationship Id="rId6" Type="http://schemas.openxmlformats.org/officeDocument/2006/relationships/hyperlink" Target="https://drive.google.com/file/d/1GtMIZoZop0-mHw_DWumoOOAXexuF9rCB/view?usp=drive_link" TargetMode="External"/><Relationship Id="rId23" Type="http://schemas.openxmlformats.org/officeDocument/2006/relationships/hyperlink" Target="https://drive.google.com/file/d/10Wh6c_m3StmDZh7wwHoUioMvnhydh-k4/view?usp=drive_link" TargetMode="External"/><Relationship Id="rId28" Type="http://schemas.openxmlformats.org/officeDocument/2006/relationships/hyperlink" Target="https://drive.google.com/drive/folders/1t6rqpWZWm9sIPM_45CNa-sGuH0LgYwaW" TargetMode="External"/><Relationship Id="rId49" Type="http://schemas.openxmlformats.org/officeDocument/2006/relationships/hyperlink" Target="https://drive.google.com/drive/folders/1rz58TiKJGXFkDGEomDrqKk2oK8H28ou1" TargetMode="External"/><Relationship Id="rId114" Type="http://schemas.openxmlformats.org/officeDocument/2006/relationships/hyperlink" Target="https://drive.google.com/drive/folders/1tp2T0aIrAqs4c0OnciFj8zRPx4rdnHff" TargetMode="External"/><Relationship Id="rId119" Type="http://schemas.openxmlformats.org/officeDocument/2006/relationships/hyperlink" Target="https://drive.google.com/drive/folders/1spBfInD9wPpd6DyNhEo4xN9W1GkVS17-" TargetMode="External"/><Relationship Id="rId44" Type="http://schemas.openxmlformats.org/officeDocument/2006/relationships/hyperlink" Target="https://drive.google.com/drive/folders/1sAue4mSkTwT1wNR9MqXcV0QgKTK1t_ND" TargetMode="External"/><Relationship Id="rId60" Type="http://schemas.openxmlformats.org/officeDocument/2006/relationships/hyperlink" Target="https://drive.google.com/file/d/1zOMlWyVeDAJIm4i-HnWQwrikNwI0wc0H/view?usp=drive_link" TargetMode="External"/><Relationship Id="rId65" Type="http://schemas.openxmlformats.org/officeDocument/2006/relationships/hyperlink" Target="https://drive.google.com/drive/folders/1s4meX5ZV4j9r8iAcbqRIphUhH1dJEOGf" TargetMode="External"/><Relationship Id="rId81" Type="http://schemas.openxmlformats.org/officeDocument/2006/relationships/hyperlink" Target="https://drive.google.com/drive/folders/1tPUrz7Y2EwWPTzkDAF-u-3FUPojpWB30" TargetMode="External"/><Relationship Id="rId86" Type="http://schemas.openxmlformats.org/officeDocument/2006/relationships/hyperlink" Target="https://drive.google.com/file/d/1BzYYM7mCjQ_0rzqPqZ5xqmPTjTDVbF0d/view?usp=drive_link" TargetMode="External"/><Relationship Id="rId130" Type="http://schemas.openxmlformats.org/officeDocument/2006/relationships/hyperlink" Target="https://drive.google.com/drive/folders/1t5UbHmcU-tlHt-gQGwsTTfhtPUSXfOW2" TargetMode="External"/><Relationship Id="rId135" Type="http://schemas.openxmlformats.org/officeDocument/2006/relationships/hyperlink" Target="https://drive.google.com/drive/folders/1rzqKOdNSVy2-B-faop8_58wxlkMwJfNR" TargetMode="External"/><Relationship Id="rId13" Type="http://schemas.openxmlformats.org/officeDocument/2006/relationships/hyperlink" Target="https://drive.google.com/file/d/1Oxk1s3OIFAICkPdX1D4yzx12ztRwWBja/view?usp=drive_link" TargetMode="External"/><Relationship Id="rId18" Type="http://schemas.openxmlformats.org/officeDocument/2006/relationships/hyperlink" Target="https://drive.google.com/drive/folders/1t9Kikql5XdDW64HhKmoGaHPNssItSfpT" TargetMode="External"/><Relationship Id="rId39" Type="http://schemas.openxmlformats.org/officeDocument/2006/relationships/hyperlink" Target="https://drive.google.com/drive/folders/1s2fN-m67Em9kfnCfEKpFPMRgGwBYeYJs" TargetMode="External"/><Relationship Id="rId109" Type="http://schemas.openxmlformats.org/officeDocument/2006/relationships/hyperlink" Target="https://drive.google.com/drive/folders/1sfREZijJEom6L4jR0qbMrH2gNlqXo7qp" TargetMode="External"/><Relationship Id="rId34" Type="http://schemas.openxmlformats.org/officeDocument/2006/relationships/hyperlink" Target="https://drive.google.com/drive/folders/1tHSB7SP0QsvkNBK3WcatVqn1L4dj-fbJ" TargetMode="External"/><Relationship Id="rId50" Type="http://schemas.openxmlformats.org/officeDocument/2006/relationships/hyperlink" Target="https://drive.google.com/drive/folders/1rymwRjs3ZvXJ5MjA7q6KNORjMfAtog6y" TargetMode="External"/><Relationship Id="rId55" Type="http://schemas.openxmlformats.org/officeDocument/2006/relationships/hyperlink" Target="https://drive.google.com/drive/folders/1sPxuaAyC-v2Nq8oG9BOt5xQozsnoJoOX" TargetMode="External"/><Relationship Id="rId76" Type="http://schemas.openxmlformats.org/officeDocument/2006/relationships/hyperlink" Target="https://drive.google.com/file/d/1zOMlWyVeDAJIm4i-HnWQwrikNwI0wc0H/view?usp=drive_link" TargetMode="External"/><Relationship Id="rId97" Type="http://schemas.openxmlformats.org/officeDocument/2006/relationships/hyperlink" Target="https://drive.google.com/drive/folders/1tcVTWlFyV1UY68X7bPsUvueXNCSTjt4-" TargetMode="External"/><Relationship Id="rId104" Type="http://schemas.openxmlformats.org/officeDocument/2006/relationships/hyperlink" Target="https://drive.google.com/drive/folders/1sfaoziPlbWtK-YAHgyFK57hffv9m-afo" TargetMode="External"/><Relationship Id="rId120" Type="http://schemas.openxmlformats.org/officeDocument/2006/relationships/hyperlink" Target="https://drive.google.com/drive/folders/1toamoVfzjjwKfkItLkHxlW_0oV7ab4HU" TargetMode="External"/><Relationship Id="rId125" Type="http://schemas.openxmlformats.org/officeDocument/2006/relationships/hyperlink" Target="https://drive.google.com/drive/folders/1sv6Oyu4iEFFixvBNEbX-zBryPBf_urVD" TargetMode="External"/><Relationship Id="rId141" Type="http://schemas.openxmlformats.org/officeDocument/2006/relationships/hyperlink" Target="https://drive.google.com/drive/folders/1s1_BrD45F-KnHBG3UAuKRBdWr0grtuaH" TargetMode="External"/><Relationship Id="rId7" Type="http://schemas.openxmlformats.org/officeDocument/2006/relationships/hyperlink" Target="https://docs.google.com/presentation/d/1rqFdY4yENd0w04ayUl2PV1McXVfqEpMf/edit?usp=sharing&amp;ouid=115393895756866266124&amp;rtpof=true&amp;sd=true" TargetMode="External"/><Relationship Id="rId71" Type="http://schemas.openxmlformats.org/officeDocument/2006/relationships/hyperlink" Target="https://drive.google.com/drive/folders/1sSmBTmOUpSs34tFkgLFSDFXLdoiaLkpF" TargetMode="External"/><Relationship Id="rId92" Type="http://schemas.openxmlformats.org/officeDocument/2006/relationships/hyperlink" Target="https://drive.google.com/file/d/1jhBghVGS7pyf8tsRuVJiEoixlmapTqpA/view?usp=drive_link" TargetMode="External"/><Relationship Id="rId2" Type="http://schemas.openxmlformats.org/officeDocument/2006/relationships/hyperlink" Target="https://drive.google.com/file/d/1NER8dw4qQ4wQFf17ysunoN-IN8ZuIxt-/view?usp=drive_link" TargetMode="External"/><Relationship Id="rId29" Type="http://schemas.openxmlformats.org/officeDocument/2006/relationships/hyperlink" Target="https://drive.google.com/file/d/1NER8dw4qQ4wQFf17ysunoN-IN8ZuIxt-/view?usp=drive_link" TargetMode="External"/><Relationship Id="rId24" Type="http://schemas.openxmlformats.org/officeDocument/2006/relationships/hyperlink" Target="https://drive.google.com/drive/folders/1tjDgq1NoCgOmyAUJgrztO3j5mpIjwAy_" TargetMode="External"/><Relationship Id="rId40" Type="http://schemas.openxmlformats.org/officeDocument/2006/relationships/hyperlink" Target="https://drive.google.com/drive/folders/1thr7_-BnaMgkFAP3m0aGO5vVTFxUUv1F" TargetMode="External"/><Relationship Id="rId45" Type="http://schemas.openxmlformats.org/officeDocument/2006/relationships/hyperlink" Target="https://drive.google.com/drive/folders/1tZpK0QEK7fR8-fItZfJSnAhzR4bE-6ZU" TargetMode="External"/><Relationship Id="rId66" Type="http://schemas.openxmlformats.org/officeDocument/2006/relationships/hyperlink" Target="https://drive.google.com/file/d/1FKwx6eALIHkuUOkQXyyHL6-Arx3gt6rL/view?usp=drive_link" TargetMode="External"/><Relationship Id="rId87" Type="http://schemas.openxmlformats.org/officeDocument/2006/relationships/hyperlink" Target="https://drive.google.com/drive/folders/1sVFC8-dPL1IeNYaiKMWkSE0UB8sJiXJy" TargetMode="External"/><Relationship Id="rId110" Type="http://schemas.openxmlformats.org/officeDocument/2006/relationships/hyperlink" Target="https://drive.google.com/drive/folders/1sezyxVP72_IeiC8nc0CHYRQ9yPlAkI4p" TargetMode="External"/><Relationship Id="rId115" Type="http://schemas.openxmlformats.org/officeDocument/2006/relationships/hyperlink" Target="https://drive.google.com/drive/folders/1sXk_yZtG5TDyYQYwAoVi6MTfgbm8pHle" TargetMode="External"/><Relationship Id="rId131" Type="http://schemas.openxmlformats.org/officeDocument/2006/relationships/hyperlink" Target="https://drive.google.com/drive/folders/1t5AnnE3FrDXi9dYHdNcniqtupTuGvgpp" TargetMode="External"/><Relationship Id="rId136" Type="http://schemas.openxmlformats.org/officeDocument/2006/relationships/hyperlink" Target="https://drive.google.com/drive/folders/1tAgNXv1X34BAMDKpFI65mZHgd1dXAhkx" TargetMode="External"/><Relationship Id="rId61" Type="http://schemas.openxmlformats.org/officeDocument/2006/relationships/hyperlink" Target="https://drive.google.com/drive/folders/1s8RHGk5P62XYdcBc86ps4jJN0m297cPk" TargetMode="External"/><Relationship Id="rId82" Type="http://schemas.openxmlformats.org/officeDocument/2006/relationships/hyperlink" Target="https://drive.google.com/file/d/1V5DaJa_9cN25eYIMPhvrfowxVx2PNI6-/view?usp=drive_link" TargetMode="External"/><Relationship Id="rId19" Type="http://schemas.openxmlformats.org/officeDocument/2006/relationships/hyperlink" Target="https://drive.google.com/file/d/10Wh6c_m3StmDZh7wwHoUioMvnhydh-k4/view?usp=drive_link" TargetMode="External"/><Relationship Id="rId14" Type="http://schemas.openxmlformats.org/officeDocument/2006/relationships/hyperlink" Target="https://drive.google.com/drive/folders/1mJtclRjWfnaY9xROQh5_2xQfZbnlCQku" TargetMode="External"/><Relationship Id="rId30" Type="http://schemas.openxmlformats.org/officeDocument/2006/relationships/hyperlink" Target="https://drive.google.com/drive/folders/1t6roi3cTygNup89es4e6VOi1OiZgln9k" TargetMode="External"/><Relationship Id="rId35" Type="http://schemas.openxmlformats.org/officeDocument/2006/relationships/hyperlink" Target="https://drive.google.com/file/d/1Oxk1s3OIFAICkPdX1D4yzx12ztRwWBja/view?usp=drive_link" TargetMode="External"/><Relationship Id="rId56" Type="http://schemas.openxmlformats.org/officeDocument/2006/relationships/hyperlink" Target="https://drive.google.com/file/d/1MdzfXfcprb0jCeMlKQFijWHXzZf-75-Q/view?usp=drive_link" TargetMode="External"/><Relationship Id="rId77" Type="http://schemas.openxmlformats.org/officeDocument/2006/relationships/hyperlink" Target="https://drive.google.com/drive/folders/1tKQ_vF4_A3f3kZzujKfwIpNn1tF8Y6CE" TargetMode="External"/><Relationship Id="rId100" Type="http://schemas.openxmlformats.org/officeDocument/2006/relationships/hyperlink" Target="https://drive.google.com/drive/folders/1sjwjJesAZD98ViNYVd4087X_hF7mMIJc" TargetMode="External"/><Relationship Id="rId105" Type="http://schemas.openxmlformats.org/officeDocument/2006/relationships/hyperlink" Target="https://drive.google.com/drive/folders/1sdS3CxyL9r9_IRWRIkxXuJvoqSkSCpFi" TargetMode="External"/><Relationship Id="rId126" Type="http://schemas.openxmlformats.org/officeDocument/2006/relationships/hyperlink" Target="https://drive.google.com/drive/folders/1ssxmOErBM_4La_xQ-U6o6R_Si7KjSZi-" TargetMode="External"/><Relationship Id="rId8" Type="http://schemas.openxmlformats.org/officeDocument/2006/relationships/hyperlink" Target="https://drive.google.com/drive/folders/1smCvoXK1ryui8Sd8KW2m0ZwgnqZo6UQ0" TargetMode="External"/><Relationship Id="rId51" Type="http://schemas.openxmlformats.org/officeDocument/2006/relationships/hyperlink" Target="https://drive.google.com/drive/folders/1sLsUG1aTja4vL4_dBs5CvIKZ--PV3Rid" TargetMode="External"/><Relationship Id="rId72" Type="http://schemas.openxmlformats.org/officeDocument/2006/relationships/hyperlink" Target="https://drive.google.com/file/d/1e3ZuEbPKX7EVNSTmnDyWabyAUBgxayqX/view?usp=drive_link" TargetMode="External"/><Relationship Id="rId93" Type="http://schemas.openxmlformats.org/officeDocument/2006/relationships/hyperlink" Target="https://drive.google.com/drive/folders/1tS3a4K3pJYE4KczxCYZjGDDwHqoDXvYk" TargetMode="External"/><Relationship Id="rId98" Type="http://schemas.openxmlformats.org/officeDocument/2006/relationships/hyperlink" Target="https://drive.google.com/file/d/1hDPyWF7QuFr4swQRO6sk-tUS_mFCsHDD/view?usp=drive_link" TargetMode="External"/><Relationship Id="rId121" Type="http://schemas.openxmlformats.org/officeDocument/2006/relationships/hyperlink" Target="https://drive.google.com/drive/folders/1toOAr4JxuZGOHcvnqoc-Or6dgcaQMa7G" TargetMode="External"/><Relationship Id="rId142" Type="http://schemas.openxmlformats.org/officeDocument/2006/relationships/hyperlink" Target="https://drive.google.com/drive/folders/1s1OeCwv4gaAlzs0XwPbaaKMGSzw8axQW" TargetMode="External"/><Relationship Id="rId3" Type="http://schemas.openxmlformats.org/officeDocument/2006/relationships/hyperlink" Target="https://drive.google.com/drive/folders/1s37iLQQZJH3TI1dE_3CICON6J_B1loRk" TargetMode="External"/><Relationship Id="rId25" Type="http://schemas.openxmlformats.org/officeDocument/2006/relationships/hyperlink" Target="https://drive.google.com/file/d/10Wh6c_m3StmDZh7wwHoUioMvnhydh-k4/view?usp=drive_link" TargetMode="External"/><Relationship Id="rId46" Type="http://schemas.openxmlformats.org/officeDocument/2006/relationships/hyperlink" Target="https://drive.google.com/drive/folders/1tZmV-Co3onLmlRzZyPwG-bYbje8Hbmns" TargetMode="External"/><Relationship Id="rId67" Type="http://schemas.openxmlformats.org/officeDocument/2006/relationships/hyperlink" Target="https://drive.google.com/drive/folders/1s3WOIehU53vAdWw8Z-sdNI4NXwwgByLS" TargetMode="External"/><Relationship Id="rId116" Type="http://schemas.openxmlformats.org/officeDocument/2006/relationships/hyperlink" Target="https://drive.google.com/drive/folders/1sqvZm9YKXU2uW9yxYCZaYBBXMFotPa21" TargetMode="External"/><Relationship Id="rId137" Type="http://schemas.openxmlformats.org/officeDocument/2006/relationships/hyperlink" Target="https://drive.google.com/drive/folders/1t8l0Y4A1mmHgZc6ggFfs5Ifn1oFTsrXo" TargetMode="External"/><Relationship Id="rId20" Type="http://schemas.openxmlformats.org/officeDocument/2006/relationships/hyperlink" Target="https://drive.google.com/drive/folders/1tHas-J-tDnKMwVG_2MO01DjbMeXjKnRB" TargetMode="External"/><Relationship Id="rId41" Type="http://schemas.openxmlformats.org/officeDocument/2006/relationships/hyperlink" Target="https://drive.google.com/drive/folders/1tjWr6KNWq6FbaffE6e9qHjr6-mwuZZcw" TargetMode="External"/><Relationship Id="rId62" Type="http://schemas.openxmlformats.org/officeDocument/2006/relationships/hyperlink" Target="https://drive.google.com/file/d/1zOMlWyVeDAJIm4i-HnWQwrikNwI0wc0H/view?usp=drive_link" TargetMode="External"/><Relationship Id="rId83" Type="http://schemas.openxmlformats.org/officeDocument/2006/relationships/hyperlink" Target="https://drive.google.com/drive/folders/1sMWea9iniYF0AjR8di30uxODH4vJZhox" TargetMode="External"/><Relationship Id="rId88" Type="http://schemas.openxmlformats.org/officeDocument/2006/relationships/hyperlink" Target="https://drive.google.com/file/d/1BzYYM7mCjQ_0rzqPqZ5xqmPTjTDVbF0d/view?usp=drive_link" TargetMode="External"/><Relationship Id="rId111" Type="http://schemas.openxmlformats.org/officeDocument/2006/relationships/hyperlink" Target="https://drive.google.com/drive/folders/1sZhqAravqSCHXjojBV6MD5VNpr2h7cOu" TargetMode="External"/><Relationship Id="rId132" Type="http://schemas.openxmlformats.org/officeDocument/2006/relationships/hyperlink" Target="https://drive.google.com/drive/folders/1s-rqN5hrL1a2vCNTOCuNqzK78goDuyJZ" TargetMode="External"/><Relationship Id="rId15" Type="http://schemas.openxmlformats.org/officeDocument/2006/relationships/hyperlink" Target="https://drive.google.com/file/d/1GtMIZoZop0-mHw_DWumoOOAXexuF9rCB/view?usp=drive_link" TargetMode="External"/><Relationship Id="rId36" Type="http://schemas.openxmlformats.org/officeDocument/2006/relationships/hyperlink" Target="https://drive.google.com/drive/folders/1tOlLnNQNmWRMl7dcWLrAMrZ3EbMaggCA" TargetMode="External"/><Relationship Id="rId57" Type="http://schemas.openxmlformats.org/officeDocument/2006/relationships/hyperlink" Target="https://drive.google.com/drive/folders/1sPkzCXvk7kKnz5z2PgDZW29PboLdm7A-" TargetMode="External"/><Relationship Id="rId106" Type="http://schemas.openxmlformats.org/officeDocument/2006/relationships/hyperlink" Target="https://drive.google.com/drive/folders/1scEvK2ycaCJLXw1d2MSNn_m6mY34s5x7" TargetMode="External"/><Relationship Id="rId127" Type="http://schemas.openxmlformats.org/officeDocument/2006/relationships/hyperlink" Target="https://drive.google.com/drive/folders/1ssflTqpKhpDXm_Xzwa5ltDLkbup851NA" TargetMode="External"/><Relationship Id="rId10" Type="http://schemas.openxmlformats.org/officeDocument/2006/relationships/hyperlink" Target="https://drive.google.com/drive/folders/1sdKtx_ybPWsZkVJ2bs3OnRHtc4qA_486" TargetMode="External"/><Relationship Id="rId31" Type="http://schemas.openxmlformats.org/officeDocument/2006/relationships/hyperlink" Target="https://drive.google.com/file/d/1NER8dw4qQ4wQFf17ysunoN-IN8ZuIxt-/view?usp=drive_link" TargetMode="External"/><Relationship Id="rId52" Type="http://schemas.openxmlformats.org/officeDocument/2006/relationships/hyperlink" Target="https://drive.google.com/file/d/1MdzfXfcprb0jCeMlKQFijWHXzZf-75-Q/view?usp=drive_link" TargetMode="External"/><Relationship Id="rId73" Type="http://schemas.openxmlformats.org/officeDocument/2006/relationships/hyperlink" Target="https://drive.google.com/drive/folders/1sQXpYtHJ4H99QeHVW6L4rxTTGRznlsE3" TargetMode="External"/><Relationship Id="rId78" Type="http://schemas.openxmlformats.org/officeDocument/2006/relationships/hyperlink" Target="https://drive.google.com/file/d/1FKwx6eALIHkuUOkQXyyHL6-Arx3gt6rL/view?usp=drive_link" TargetMode="External"/><Relationship Id="rId94" Type="http://schemas.openxmlformats.org/officeDocument/2006/relationships/hyperlink" Target="https://drive.google.com/file/d/1jhBghVGS7pyf8tsRuVJiEoixlmapTqpA/view?usp=drive_link" TargetMode="External"/><Relationship Id="rId99" Type="http://schemas.openxmlformats.org/officeDocument/2006/relationships/hyperlink" Target="https://drive.google.com/drive/folders/1tabZ3CKTLSFZbBb2um4X9KNLM4PzOImB" TargetMode="External"/><Relationship Id="rId101" Type="http://schemas.openxmlformats.org/officeDocument/2006/relationships/hyperlink" Target="https://drive.google.com/drive/folders/1sjdCAEV_7vYPcjeB3vdAo3V-2-Xl0nCL" TargetMode="External"/><Relationship Id="rId122" Type="http://schemas.openxmlformats.org/officeDocument/2006/relationships/hyperlink" Target="https://drive.google.com/drive/folders/1s2dOaaR2Uuz5ciFVRt4Yp3Z0WdByF8I0" TargetMode="External"/><Relationship Id="rId143" Type="http://schemas.openxmlformats.org/officeDocument/2006/relationships/hyperlink" Target="https://drive.google.com/drive/folders/1s0ymUTmfTP6qYUr7WUMQL0s21V5k8Duh" TargetMode="External"/><Relationship Id="rId4" Type="http://schemas.openxmlformats.org/officeDocument/2006/relationships/hyperlink" Target="https://drive.google.com/file/d/1NER8dw4qQ4wQFf17ysunoN-IN8ZuIxt-/view?usp=drive_link" TargetMode="External"/><Relationship Id="rId9" Type="http://schemas.openxmlformats.org/officeDocument/2006/relationships/hyperlink" Target="https://drive.google.com/file/d/1GtMIZoZop0-mHw_DWumoOOAXexuF9rCB/view?usp=drive_link" TargetMode="External"/><Relationship Id="rId26" Type="http://schemas.openxmlformats.org/officeDocument/2006/relationships/hyperlink" Target="https://drive.google.com/drive/folders/1tLycYfv66quQicjRidKOFdgQD9Guclf5" TargetMode="External"/><Relationship Id="rId47" Type="http://schemas.openxmlformats.org/officeDocument/2006/relationships/hyperlink" Target="https://drive.google.com/drive/folders/1tXlYybMk59UnVb1xg4_i4FubV8HoUqgI" TargetMode="External"/><Relationship Id="rId68" Type="http://schemas.openxmlformats.org/officeDocument/2006/relationships/hyperlink" Target="https://drive.google.com/file/d/1e3ZuEbPKX7EVNSTmnDyWabyAUBgxayqX/view?usp=drive_link" TargetMode="External"/><Relationship Id="rId89" Type="http://schemas.openxmlformats.org/officeDocument/2006/relationships/hyperlink" Target="https://drive.google.com/drive/folders/1skIwkbLhZ7LKpRW9L8aKqiTn3TmPlkwY" TargetMode="External"/><Relationship Id="rId112" Type="http://schemas.openxmlformats.org/officeDocument/2006/relationships/hyperlink" Target="https://drive.google.com/drive/folders/1tkefN6XYvOTzzio-g_oDDKIHiWCKW0ZL" TargetMode="External"/><Relationship Id="rId133" Type="http://schemas.openxmlformats.org/officeDocument/2006/relationships/hyperlink" Target="https://drive.google.com/drive/folders/1s-mmeym0TX33B0l_niT_roMbeLd1wcPp" TargetMode="External"/><Relationship Id="rId16" Type="http://schemas.openxmlformats.org/officeDocument/2006/relationships/hyperlink" Target="https://drive.google.com/drive/folders/1sxDvJVRnKjwR3aWBY1WNiOgDmBkNl09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001"/>
  <sheetViews>
    <sheetView workbookViewId="0">
      <pane ySplit="1" topLeftCell="A9" activePane="bottomLeft" state="frozen"/>
      <selection pane="bottomLeft" activeCell="H2" sqref="H2"/>
    </sheetView>
  </sheetViews>
  <sheetFormatPr defaultColWidth="14.3984375" defaultRowHeight="15" customHeight="1" x14ac:dyDescent="0.45"/>
  <cols>
    <col min="1" max="2" width="8.73046875" customWidth="1"/>
    <col min="3" max="3" width="12.73046875" customWidth="1"/>
    <col min="4" max="4" width="22.3984375" customWidth="1"/>
    <col min="5" max="5" width="62.3984375" customWidth="1"/>
    <col min="6" max="6" width="32.3984375" customWidth="1"/>
    <col min="7" max="7" width="55" customWidth="1"/>
    <col min="8" max="9" width="48.86328125" customWidth="1"/>
  </cols>
  <sheetData>
    <row r="1" spans="1:12" ht="60" customHeight="1" x14ac:dyDescent="0.45">
      <c r="A1" s="1" t="s">
        <v>0</v>
      </c>
      <c r="B1" s="1"/>
      <c r="C1" s="2" t="s">
        <v>1</v>
      </c>
      <c r="D1" s="2" t="s">
        <v>2</v>
      </c>
      <c r="E1" s="2" t="s">
        <v>3</v>
      </c>
      <c r="F1" s="2" t="s">
        <v>4</v>
      </c>
      <c r="G1" s="3" t="s">
        <v>5</v>
      </c>
      <c r="H1" s="3" t="s">
        <v>6</v>
      </c>
      <c r="I1" s="110" t="s">
        <v>7</v>
      </c>
      <c r="J1" s="111" t="s">
        <v>8</v>
      </c>
      <c r="K1" s="111" t="s">
        <v>9</v>
      </c>
      <c r="L1" s="111" t="s">
        <v>10</v>
      </c>
    </row>
    <row r="2" spans="1:12" ht="325.14999999999998" customHeight="1" x14ac:dyDescent="0.45">
      <c r="A2" s="241" t="s">
        <v>11</v>
      </c>
      <c r="B2" s="239" t="s">
        <v>12</v>
      </c>
      <c r="C2" s="112" t="str">
        <f>HYPERLINK("https://drive.google.com/drive/folders/1o13of_xJCTbJEEPgVGvqqy63puUVLiRT", "Lesson 1")</f>
        <v>Lesson 1</v>
      </c>
      <c r="D2" s="4" t="s">
        <v>13</v>
      </c>
      <c r="E2" s="5" t="s">
        <v>14</v>
      </c>
      <c r="F2" s="6" t="s">
        <v>15</v>
      </c>
      <c r="G2" s="7" t="s">
        <v>16</v>
      </c>
      <c r="H2" s="7"/>
      <c r="I2" s="113" t="s">
        <v>17</v>
      </c>
      <c r="J2" s="111" t="s">
        <v>18</v>
      </c>
      <c r="K2" s="111" t="s">
        <v>19</v>
      </c>
      <c r="L2" s="111"/>
    </row>
    <row r="3" spans="1:12" ht="153" customHeight="1" x14ac:dyDescent="0.45">
      <c r="A3" s="230"/>
      <c r="B3" s="230"/>
      <c r="C3" s="114" t="str">
        <f>HYPERLINK("https://drive.google.com/drive/folders/1oI3Kjl8sqRFxxh6PlGwwZLQw8UvwuYHz", "Lesson 2")</f>
        <v>Lesson 2</v>
      </c>
      <c r="D3" s="4" t="s">
        <v>20</v>
      </c>
      <c r="E3" s="5" t="s">
        <v>21</v>
      </c>
      <c r="F3" s="6" t="s">
        <v>22</v>
      </c>
      <c r="G3" s="7" t="s">
        <v>23</v>
      </c>
      <c r="H3" s="76"/>
      <c r="I3" s="113" t="s">
        <v>24</v>
      </c>
      <c r="J3" s="111" t="s">
        <v>25</v>
      </c>
      <c r="K3" s="111" t="s">
        <v>26</v>
      </c>
      <c r="L3" s="111"/>
    </row>
    <row r="4" spans="1:12" ht="409.5" customHeight="1" x14ac:dyDescent="0.45">
      <c r="A4" s="230"/>
      <c r="B4" s="230"/>
      <c r="C4" s="114" t="str">
        <f>HYPERLINK("https://drive.google.com/drive/folders/1oYcztGq--DsLo43ndoslNpV5oVyysw0p", "Lesson 3")</f>
        <v>Lesson 3</v>
      </c>
      <c r="D4" s="4" t="s">
        <v>27</v>
      </c>
      <c r="E4" s="8" t="s">
        <v>28</v>
      </c>
      <c r="F4" s="4" t="s">
        <v>29</v>
      </c>
      <c r="G4" s="115" t="s">
        <v>30</v>
      </c>
      <c r="H4" s="76" t="s">
        <v>31</v>
      </c>
      <c r="I4" s="113" t="s">
        <v>32</v>
      </c>
      <c r="J4" s="111" t="s">
        <v>33</v>
      </c>
      <c r="K4" s="116" t="s">
        <v>34</v>
      </c>
      <c r="L4" s="117" t="s">
        <v>35</v>
      </c>
    </row>
    <row r="5" spans="1:12" ht="191.25" customHeight="1" x14ac:dyDescent="0.45">
      <c r="A5" s="230"/>
      <c r="B5" s="230"/>
      <c r="C5" s="114" t="str">
        <f>HYPERLINK("https://drive.google.com/drive/folders/1ors6EmAOnc0jp1F_aSMFHXp1eUBcqaYK", "Lesson 4")</f>
        <v>Lesson 4</v>
      </c>
      <c r="D5" s="4" t="s">
        <v>36</v>
      </c>
      <c r="E5" s="8" t="s">
        <v>37</v>
      </c>
      <c r="F5" s="4" t="s">
        <v>38</v>
      </c>
      <c r="G5" s="115" t="s">
        <v>39</v>
      </c>
      <c r="H5" s="76" t="s">
        <v>40</v>
      </c>
      <c r="I5" s="113" t="s">
        <v>41</v>
      </c>
      <c r="J5" s="118" t="s">
        <v>42</v>
      </c>
      <c r="K5" s="116" t="s">
        <v>43</v>
      </c>
      <c r="L5" s="117" t="s">
        <v>44</v>
      </c>
    </row>
    <row r="6" spans="1:12" ht="196.9" customHeight="1" x14ac:dyDescent="0.45">
      <c r="A6" s="230"/>
      <c r="B6" s="230"/>
      <c r="C6" s="114" t="str">
        <f>HYPERLINK("https://drive.google.com/drive/folders/1ozn7YoZAJglFbkc1Us0xdXXjn3eeQfna", "Lesson 5")</f>
        <v>Lesson 5</v>
      </c>
      <c r="D6" s="9" t="s">
        <v>45</v>
      </c>
      <c r="E6" s="10" t="s">
        <v>46</v>
      </c>
      <c r="F6" s="9" t="s">
        <v>38</v>
      </c>
      <c r="G6" s="11"/>
      <c r="H6" s="11"/>
      <c r="I6" s="113" t="s">
        <v>47</v>
      </c>
      <c r="J6" s="111" t="s">
        <v>48</v>
      </c>
      <c r="K6" s="116" t="s">
        <v>49</v>
      </c>
      <c r="L6" s="111"/>
    </row>
    <row r="7" spans="1:12" ht="301.89999999999998" customHeight="1" x14ac:dyDescent="0.45">
      <c r="A7" s="230"/>
      <c r="B7" s="230"/>
      <c r="C7" s="114" t="str">
        <f>HYPERLINK("https://drive.google.com/drive/folders/1pCmRAjTMVOj7QcKOMNZjhar6BEjpcVp_", "Lesson 6")</f>
        <v>Lesson 6</v>
      </c>
      <c r="D7" s="9" t="s">
        <v>50</v>
      </c>
      <c r="E7" s="10" t="s">
        <v>51</v>
      </c>
      <c r="F7" s="9" t="s">
        <v>52</v>
      </c>
      <c r="G7" s="12" t="s">
        <v>53</v>
      </c>
      <c r="H7" s="77" t="s">
        <v>54</v>
      </c>
      <c r="I7" s="113" t="s">
        <v>55</v>
      </c>
      <c r="J7" s="111" t="s">
        <v>56</v>
      </c>
      <c r="K7" s="116" t="s">
        <v>57</v>
      </c>
      <c r="L7" s="111"/>
    </row>
    <row r="8" spans="1:12" ht="63.75" customHeight="1" x14ac:dyDescent="0.45">
      <c r="A8" s="230"/>
      <c r="B8" s="230"/>
      <c r="C8" s="240" t="s">
        <v>58</v>
      </c>
      <c r="D8" s="235"/>
      <c r="E8" s="235"/>
      <c r="F8" s="236"/>
      <c r="G8" s="7"/>
      <c r="H8" s="7"/>
      <c r="I8" s="119" t="s">
        <v>58</v>
      </c>
      <c r="J8" s="111"/>
      <c r="K8" s="111"/>
      <c r="L8" s="111"/>
    </row>
    <row r="9" spans="1:12" ht="153" customHeight="1" x14ac:dyDescent="0.45">
      <c r="A9" s="230"/>
      <c r="B9" s="230"/>
      <c r="C9" s="114" t="str">
        <f>HYPERLINK("https://drive.google.com/drive/folders/1pOZX6bBpd3m0SM5-IWWRtmC9kDoIYyU1", "Lesson 7")</f>
        <v>Lesson 7</v>
      </c>
      <c r="D9" s="9" t="s">
        <v>59</v>
      </c>
      <c r="E9" s="10" t="s">
        <v>60</v>
      </c>
      <c r="F9" s="9" t="s">
        <v>61</v>
      </c>
      <c r="G9" s="115" t="s">
        <v>62</v>
      </c>
      <c r="H9" s="76" t="s">
        <v>63</v>
      </c>
      <c r="I9" s="113" t="s">
        <v>64</v>
      </c>
      <c r="J9" s="111" t="s">
        <v>65</v>
      </c>
      <c r="K9" s="116" t="s">
        <v>66</v>
      </c>
      <c r="L9" s="111" t="s">
        <v>67</v>
      </c>
    </row>
    <row r="10" spans="1:12" ht="153" customHeight="1" x14ac:dyDescent="0.45">
      <c r="A10" s="230"/>
      <c r="B10" s="230"/>
      <c r="C10" s="114" t="str">
        <f>HYPERLINK("https://drive.google.com/drive/folders/1pYY5ECxKkJf1IWBUtspMBA_Zcnc_HQot", "Lesson 8")</f>
        <v>Lesson 8</v>
      </c>
      <c r="D10" s="9" t="s">
        <v>68</v>
      </c>
      <c r="E10" s="10" t="s">
        <v>60</v>
      </c>
      <c r="F10" s="9" t="s">
        <v>69</v>
      </c>
      <c r="G10" s="115" t="s">
        <v>70</v>
      </c>
      <c r="H10" s="76" t="s">
        <v>71</v>
      </c>
      <c r="I10" s="113" t="s">
        <v>72</v>
      </c>
      <c r="J10" s="111" t="s">
        <v>73</v>
      </c>
      <c r="K10" s="111" t="s">
        <v>74</v>
      </c>
      <c r="L10" s="111" t="s">
        <v>75</v>
      </c>
    </row>
    <row r="11" spans="1:12" ht="220.9" customHeight="1" x14ac:dyDescent="0.45">
      <c r="A11" s="230"/>
      <c r="B11" s="230"/>
      <c r="C11" s="114" t="str">
        <f>HYPERLINK("https://drive.google.com/drive/folders/1prP5UhG2zv--_BfPH8mzUKCqrxtMeCle", "Lesson 9")</f>
        <v>Lesson 9</v>
      </c>
      <c r="D11" s="9" t="s">
        <v>76</v>
      </c>
      <c r="E11" s="10" t="s">
        <v>77</v>
      </c>
      <c r="F11" s="13" t="s">
        <v>78</v>
      </c>
      <c r="G11" s="115" t="s">
        <v>79</v>
      </c>
      <c r="H11" s="76" t="s">
        <v>80</v>
      </c>
      <c r="I11" s="113" t="s">
        <v>81</v>
      </c>
      <c r="J11" s="111" t="s">
        <v>82</v>
      </c>
      <c r="K11" s="111" t="s">
        <v>83</v>
      </c>
      <c r="L11" s="111" t="s">
        <v>84</v>
      </c>
    </row>
    <row r="12" spans="1:12" ht="102" customHeight="1" x14ac:dyDescent="0.45">
      <c r="A12" s="230"/>
      <c r="B12" s="230"/>
      <c r="C12" s="114" t="str">
        <f>HYPERLINK("https://drive.google.com/drive/folders/1o-cVIRRgz_Xrmi3-q3-qw7zu1CX4IAZE", "Lesson 10")</f>
        <v>Lesson 10</v>
      </c>
      <c r="D12" s="9" t="s">
        <v>85</v>
      </c>
      <c r="E12" s="10" t="s">
        <v>86</v>
      </c>
      <c r="F12" s="9" t="s">
        <v>87</v>
      </c>
      <c r="G12" s="14" t="s">
        <v>88</v>
      </c>
      <c r="H12" s="7"/>
      <c r="I12" s="113" t="s">
        <v>89</v>
      </c>
      <c r="J12" s="111" t="s">
        <v>90</v>
      </c>
      <c r="K12" s="116" t="s">
        <v>91</v>
      </c>
      <c r="L12" s="111"/>
    </row>
    <row r="13" spans="1:12" ht="78.75" customHeight="1" x14ac:dyDescent="0.45">
      <c r="A13" s="230"/>
      <c r="B13" s="230"/>
      <c r="C13" s="114" t="str">
        <f>HYPERLINK("https://drive.google.com/drive/folders/1ntwG9QOzOoDF04i0GfpvXNJ4p2GYf4Vh", "Lesson 11")</f>
        <v>Lesson 11</v>
      </c>
      <c r="D13" s="9" t="s">
        <v>92</v>
      </c>
      <c r="E13" s="10" t="s">
        <v>93</v>
      </c>
      <c r="F13" s="9" t="s">
        <v>94</v>
      </c>
      <c r="G13" s="11" t="s">
        <v>95</v>
      </c>
      <c r="H13" s="77" t="s">
        <v>96</v>
      </c>
      <c r="I13" s="113" t="s">
        <v>97</v>
      </c>
      <c r="J13" s="111" t="s">
        <v>98</v>
      </c>
      <c r="K13" s="111" t="s">
        <v>99</v>
      </c>
      <c r="L13" s="117" t="s">
        <v>100</v>
      </c>
    </row>
    <row r="14" spans="1:12" ht="127.5" customHeight="1" x14ac:dyDescent="0.45">
      <c r="A14" s="230"/>
      <c r="B14" s="230"/>
      <c r="C14" s="120" t="str">
        <f>HYPERLINK("https://drive.google.com/drive/folders/1o56EveTmrZt61qAw5LKDHibmC8SWlfQG", "Lesson 12")</f>
        <v>Lesson 12</v>
      </c>
      <c r="D14" s="13" t="s">
        <v>101</v>
      </c>
      <c r="E14" s="15" t="s">
        <v>102</v>
      </c>
      <c r="F14" s="13" t="s">
        <v>103</v>
      </c>
      <c r="G14" s="7" t="s">
        <v>104</v>
      </c>
      <c r="H14" s="76" t="s">
        <v>105</v>
      </c>
      <c r="I14" s="113" t="s">
        <v>106</v>
      </c>
      <c r="J14" s="111" t="s">
        <v>107</v>
      </c>
      <c r="K14" s="111" t="s">
        <v>108</v>
      </c>
      <c r="L14" s="111" t="s">
        <v>109</v>
      </c>
    </row>
    <row r="15" spans="1:12" ht="89.25" customHeight="1" x14ac:dyDescent="0.45">
      <c r="A15" s="230"/>
      <c r="B15" s="230"/>
      <c r="C15" s="114" t="str">
        <f>HYPERLINK("https://drive.google.com/drive/folders/1o3ogWb6UVKzG9WT0DLs0sJaWs8UXqwHm", "Lesson 15")</f>
        <v>Lesson 15</v>
      </c>
      <c r="D15" s="10" t="s">
        <v>110</v>
      </c>
      <c r="E15" s="9" t="s">
        <v>111</v>
      </c>
      <c r="F15" s="9" t="s">
        <v>112</v>
      </c>
      <c r="G15" s="7"/>
      <c r="H15" s="7"/>
      <c r="I15" s="113" t="s">
        <v>113</v>
      </c>
      <c r="J15" s="111" t="s">
        <v>114</v>
      </c>
      <c r="K15" s="111" t="s">
        <v>115</v>
      </c>
      <c r="L15" s="117"/>
    </row>
    <row r="16" spans="1:12" ht="131.25" customHeight="1" x14ac:dyDescent="0.45">
      <c r="A16" s="230"/>
      <c r="B16" s="230"/>
      <c r="C16" s="114" t="str">
        <f>HYPERLINK("https://drive.google.com/drive/folders/1o2z_CQ_XZdaFFBSeZJf0HSlmKMpwBB9T", "Lesson 16")</f>
        <v>Lesson 16</v>
      </c>
      <c r="D16" s="10" t="s">
        <v>116</v>
      </c>
      <c r="E16" s="4" t="s">
        <v>117</v>
      </c>
      <c r="F16" s="4" t="s">
        <v>118</v>
      </c>
      <c r="G16" s="11" t="s">
        <v>119</v>
      </c>
      <c r="H16" s="77" t="s">
        <v>120</v>
      </c>
      <c r="I16" s="113" t="s">
        <v>121</v>
      </c>
      <c r="J16" s="111" t="s">
        <v>122</v>
      </c>
      <c r="K16" s="111" t="s">
        <v>123</v>
      </c>
      <c r="L16" s="117"/>
    </row>
    <row r="17" spans="1:12" ht="131.25" customHeight="1" x14ac:dyDescent="0.45">
      <c r="A17" s="230"/>
      <c r="B17" s="230"/>
      <c r="C17" s="114" t="str">
        <f>HYPERLINK("https://drive.google.com/drive/folders/1o2VpnosMero_ZfmSi3XMmsJufx9iIWPG", "Lesson 17")</f>
        <v>Lesson 17</v>
      </c>
      <c r="D17" s="10" t="s">
        <v>124</v>
      </c>
      <c r="E17" s="4" t="s">
        <v>125</v>
      </c>
      <c r="F17" s="4" t="s">
        <v>126</v>
      </c>
      <c r="G17" s="11"/>
      <c r="H17" s="11"/>
      <c r="I17" s="113" t="s">
        <v>127</v>
      </c>
      <c r="J17" s="117" t="s">
        <v>128</v>
      </c>
      <c r="K17" s="111" t="s">
        <v>129</v>
      </c>
      <c r="L17" s="111"/>
    </row>
    <row r="18" spans="1:12" ht="91.9" customHeight="1" x14ac:dyDescent="0.45">
      <c r="A18" s="230"/>
      <c r="B18" s="230"/>
      <c r="C18" s="114" t="str">
        <f>HYPERLINK("https://drive.google.com/drive/folders/1oIwdq4MlDkx_PFBupy6yD9vpDZk-YI5n", "Lesson 18")</f>
        <v>Lesson 18</v>
      </c>
      <c r="D18" s="10" t="s">
        <v>130</v>
      </c>
      <c r="E18" s="9" t="s">
        <v>131</v>
      </c>
      <c r="F18" s="9" t="s">
        <v>132</v>
      </c>
      <c r="G18" s="11" t="s">
        <v>133</v>
      </c>
      <c r="H18" s="77" t="s">
        <v>134</v>
      </c>
      <c r="I18" s="113" t="s">
        <v>135</v>
      </c>
      <c r="J18" s="111" t="s">
        <v>136</v>
      </c>
      <c r="K18" s="116" t="s">
        <v>137</v>
      </c>
      <c r="L18" s="111" t="s">
        <v>138</v>
      </c>
    </row>
    <row r="19" spans="1:12" ht="131.25" customHeight="1" x14ac:dyDescent="0.45">
      <c r="A19" s="230"/>
      <c r="B19" s="230"/>
      <c r="C19" s="114" t="str">
        <f>HYPERLINK("https://drive.google.com/drive/folders/1oIm_DshitGCIV0jjGLODJ3KqZudQQsEu", "Lesson 19")</f>
        <v>Lesson 19</v>
      </c>
      <c r="D19" s="10" t="s">
        <v>139</v>
      </c>
      <c r="E19" s="9" t="s">
        <v>125</v>
      </c>
      <c r="F19" s="9" t="s">
        <v>140</v>
      </c>
      <c r="G19" s="11"/>
      <c r="H19" s="11"/>
      <c r="I19" s="113" t="s">
        <v>141</v>
      </c>
      <c r="J19" s="111" t="s">
        <v>142</v>
      </c>
      <c r="K19" s="116" t="s">
        <v>143</v>
      </c>
      <c r="L19" s="111"/>
    </row>
    <row r="20" spans="1:12" ht="63.75" customHeight="1" x14ac:dyDescent="0.45">
      <c r="A20" s="230"/>
      <c r="B20" s="230"/>
      <c r="C20" s="240" t="s">
        <v>144</v>
      </c>
      <c r="D20" s="235"/>
      <c r="E20" s="235"/>
      <c r="F20" s="236"/>
      <c r="G20" s="16"/>
      <c r="H20" s="7"/>
      <c r="I20" s="119" t="s">
        <v>144</v>
      </c>
      <c r="J20" s="111"/>
      <c r="K20" s="111"/>
      <c r="L20" s="111"/>
    </row>
    <row r="21" spans="1:12" ht="89.25" customHeight="1" x14ac:dyDescent="0.45">
      <c r="A21" s="230"/>
      <c r="B21" s="230"/>
      <c r="C21" s="114" t="str">
        <f>HYPERLINK("https://drive.google.com/drive/folders/1oFMpCruqgl7tOh1qklDPtUT8r79BQp3L", "Lesson 20")</f>
        <v>Lesson 20</v>
      </c>
      <c r="D21" s="10" t="s">
        <v>145</v>
      </c>
      <c r="E21" s="9" t="s">
        <v>146</v>
      </c>
      <c r="F21" s="9" t="s">
        <v>147</v>
      </c>
      <c r="G21" s="16"/>
      <c r="H21" s="7"/>
      <c r="I21" s="113" t="s">
        <v>148</v>
      </c>
      <c r="J21" s="111" t="s">
        <v>149</v>
      </c>
      <c r="K21" s="111" t="s">
        <v>150</v>
      </c>
      <c r="L21" s="117"/>
    </row>
    <row r="22" spans="1:12" ht="165.75" customHeight="1" x14ac:dyDescent="0.45">
      <c r="A22" s="230"/>
      <c r="B22" s="230"/>
      <c r="C22" s="114" t="str">
        <f>HYPERLINK("https://drive.google.com/drive/folders/1oN_ZVmJGqSBWb-w4fMR8a7IJNry5rDdC", "Lesson 21")</f>
        <v>Lesson 21</v>
      </c>
      <c r="D22" s="10" t="s">
        <v>151</v>
      </c>
      <c r="E22" s="9" t="s">
        <v>152</v>
      </c>
      <c r="F22" s="9" t="s">
        <v>153</v>
      </c>
      <c r="G22" s="7" t="s">
        <v>154</v>
      </c>
      <c r="H22" s="76" t="s">
        <v>155</v>
      </c>
      <c r="I22" s="113" t="s">
        <v>156</v>
      </c>
      <c r="J22" s="111" t="s">
        <v>157</v>
      </c>
      <c r="K22" s="116" t="s">
        <v>158</v>
      </c>
      <c r="L22" s="117" t="s">
        <v>159</v>
      </c>
    </row>
    <row r="23" spans="1:12" ht="102" customHeight="1" x14ac:dyDescent="0.45">
      <c r="A23" s="230"/>
      <c r="B23" s="230"/>
      <c r="C23" s="114" t="str">
        <f>HYPERLINK("https://drive.google.com/drive/folders/1oeHKzTBiL2py0fSBRXjUpICjkTkztK6S", "Lesson 22")</f>
        <v>Lesson 22</v>
      </c>
      <c r="D23" s="10" t="s">
        <v>160</v>
      </c>
      <c r="E23" s="9" t="s">
        <v>161</v>
      </c>
      <c r="F23" s="9" t="s">
        <v>162</v>
      </c>
      <c r="G23" s="7" t="s">
        <v>163</v>
      </c>
      <c r="H23" s="76" t="s">
        <v>164</v>
      </c>
      <c r="I23" s="113" t="s">
        <v>165</v>
      </c>
      <c r="J23" s="111" t="s">
        <v>166</v>
      </c>
      <c r="K23" s="111" t="s">
        <v>167</v>
      </c>
      <c r="L23" s="117"/>
    </row>
    <row r="24" spans="1:12" ht="114.75" customHeight="1" x14ac:dyDescent="0.45">
      <c r="A24" s="230"/>
      <c r="B24" s="230"/>
      <c r="C24" s="114" t="str">
        <f>HYPERLINK("https://drive.google.com/drive/folders/1odr8NMvqup3vZrwyAt4dNZgXlX_D1af5", "Lesson 23")</f>
        <v>Lesson 23</v>
      </c>
      <c r="D24" s="10" t="s">
        <v>168</v>
      </c>
      <c r="E24" s="4" t="s">
        <v>169</v>
      </c>
      <c r="F24" s="4" t="s">
        <v>170</v>
      </c>
      <c r="G24" s="7" t="s">
        <v>171</v>
      </c>
      <c r="H24" s="76" t="s">
        <v>172</v>
      </c>
      <c r="I24" s="113" t="s">
        <v>173</v>
      </c>
      <c r="J24" s="111" t="s">
        <v>174</v>
      </c>
      <c r="K24" s="111" t="s">
        <v>175</v>
      </c>
      <c r="L24" s="117"/>
    </row>
    <row r="25" spans="1:12" ht="140.25" customHeight="1" x14ac:dyDescent="0.45">
      <c r="A25" s="230"/>
      <c r="B25" s="230"/>
      <c r="C25" s="114" t="str">
        <f>HYPERLINK("https://drive.google.com/drive/folders/1ocPD3wj5-DLwYR4FzE_S1ODTlqAfwHi2", "Lesson 24")</f>
        <v>Lesson 24</v>
      </c>
      <c r="D25" s="10" t="s">
        <v>176</v>
      </c>
      <c r="E25" s="4" t="s">
        <v>177</v>
      </c>
      <c r="F25" s="9" t="s">
        <v>178</v>
      </c>
      <c r="G25" s="7"/>
      <c r="H25" s="7" t="s">
        <v>179</v>
      </c>
      <c r="I25" s="113" t="s">
        <v>180</v>
      </c>
      <c r="J25" s="111" t="s">
        <v>181</v>
      </c>
      <c r="K25" s="111" t="s">
        <v>182</v>
      </c>
      <c r="L25" s="117"/>
    </row>
    <row r="26" spans="1:12" ht="122.25" customHeight="1" x14ac:dyDescent="0.45">
      <c r="A26" s="230"/>
      <c r="B26" s="230"/>
      <c r="C26" s="121" t="str">
        <f>HYPERLINK("https://drive.google.com/drive/folders/1o_Y2U_npdvW2jZBzUmCszqEG8lwwNL4X", "Lesson 27")</f>
        <v>Lesson 27</v>
      </c>
      <c r="D26" s="122" t="s">
        <v>183</v>
      </c>
      <c r="E26" s="17" t="s">
        <v>184</v>
      </c>
      <c r="F26" s="9" t="s">
        <v>185</v>
      </c>
      <c r="G26" s="7" t="s">
        <v>186</v>
      </c>
      <c r="H26" s="78" t="s">
        <v>187</v>
      </c>
      <c r="I26" s="113" t="s">
        <v>188</v>
      </c>
      <c r="J26" s="111" t="s">
        <v>189</v>
      </c>
      <c r="K26" s="111" t="s">
        <v>190</v>
      </c>
      <c r="L26" s="117" t="s">
        <v>191</v>
      </c>
    </row>
    <row r="27" spans="1:12" ht="135.75" customHeight="1" x14ac:dyDescent="0.45">
      <c r="A27" s="230"/>
      <c r="B27" s="230"/>
      <c r="C27" s="114" t="str">
        <f>HYPERLINK("https://drive.google.com/drive/folders/1o_JnYif-QCohrPYfPp5GD5VHul4w7H0L", "Lesson 28 ")</f>
        <v xml:space="preserve">Lesson 28 </v>
      </c>
      <c r="D27" s="9" t="s">
        <v>192</v>
      </c>
      <c r="E27" s="8" t="s">
        <v>193</v>
      </c>
      <c r="F27" s="4" t="s">
        <v>194</v>
      </c>
      <c r="G27" s="7" t="s">
        <v>195</v>
      </c>
      <c r="H27" s="78" t="s">
        <v>196</v>
      </c>
      <c r="I27" s="113" t="s">
        <v>197</v>
      </c>
      <c r="J27" s="111" t="s">
        <v>198</v>
      </c>
      <c r="K27" s="111" t="s">
        <v>199</v>
      </c>
      <c r="L27" s="111"/>
    </row>
    <row r="28" spans="1:12" ht="127.5" customHeight="1" x14ac:dyDescent="0.45">
      <c r="A28" s="230"/>
      <c r="B28" s="230"/>
      <c r="C28" s="114" t="str">
        <f>HYPERLINK("https://drive.google.com/drive/folders/1oZIGw9lfP686OpjoxRR4xQ0x-A-Hk9Xq", "Lesson 29")</f>
        <v>Lesson 29</v>
      </c>
      <c r="D28" s="9" t="s">
        <v>200</v>
      </c>
      <c r="E28" s="8" t="s">
        <v>201</v>
      </c>
      <c r="F28" s="4" t="s">
        <v>202</v>
      </c>
      <c r="G28" s="7" t="s">
        <v>203</v>
      </c>
      <c r="H28" s="76" t="s">
        <v>204</v>
      </c>
      <c r="I28" s="113" t="s">
        <v>205</v>
      </c>
      <c r="J28" s="111" t="s">
        <v>206</v>
      </c>
      <c r="K28" s="111" t="s">
        <v>207</v>
      </c>
      <c r="L28" s="117" t="s">
        <v>208</v>
      </c>
    </row>
    <row r="29" spans="1:12" ht="102" customHeight="1" x14ac:dyDescent="0.45">
      <c r="A29" s="230"/>
      <c r="B29" s="231"/>
      <c r="C29" s="114" t="str">
        <f>HYPERLINK("https://drive.google.com/drive/folders/1oYKYcY_8frzKkk2bRVXjybyAFQeLMoqm", "Lesson 30 ")</f>
        <v xml:space="preserve">Lesson 30 </v>
      </c>
      <c r="D29" s="9" t="s">
        <v>209</v>
      </c>
      <c r="E29" s="8" t="s">
        <v>210</v>
      </c>
      <c r="F29" s="4" t="s">
        <v>211</v>
      </c>
      <c r="G29" s="7" t="s">
        <v>212</v>
      </c>
      <c r="H29" s="76" t="s">
        <v>213</v>
      </c>
      <c r="I29" s="113" t="s">
        <v>214</v>
      </c>
      <c r="J29" s="111" t="s">
        <v>215</v>
      </c>
      <c r="K29" s="111" t="s">
        <v>216</v>
      </c>
      <c r="L29" s="111"/>
    </row>
    <row r="30" spans="1:12" ht="140.25" customHeight="1" x14ac:dyDescent="0.45">
      <c r="A30" s="230"/>
      <c r="B30" s="244" t="s">
        <v>217</v>
      </c>
      <c r="C30" s="123" t="str">
        <f>HYPERLINK("https://drive.google.com/drive/folders/1oY5R9dGPcPGDg4Rw87pm8Vhyj-lyPnGV", "Lesson 31")</f>
        <v>Lesson 31</v>
      </c>
      <c r="D30" s="18" t="s">
        <v>218</v>
      </c>
      <c r="E30" s="19" t="s">
        <v>219</v>
      </c>
      <c r="F30" s="18" t="s">
        <v>220</v>
      </c>
      <c r="G30" s="7"/>
      <c r="H30" s="7"/>
      <c r="I30" s="113" t="s">
        <v>221</v>
      </c>
      <c r="J30" s="111" t="s">
        <v>222</v>
      </c>
      <c r="K30" s="111" t="s">
        <v>223</v>
      </c>
      <c r="L30" s="111"/>
    </row>
    <row r="31" spans="1:12" ht="102" customHeight="1" x14ac:dyDescent="0.45">
      <c r="A31" s="230"/>
      <c r="B31" s="230"/>
      <c r="C31" s="123" t="str">
        <f>HYPERLINK("https://drive.google.com/drive/folders/1oT7I1ssAV3sU2gES75z_MqgXsP2ERdBO", "Lesson 32")</f>
        <v>Lesson 32</v>
      </c>
      <c r="D31" s="18" t="s">
        <v>224</v>
      </c>
      <c r="E31" s="19" t="s">
        <v>225</v>
      </c>
      <c r="F31" s="18" t="s">
        <v>226</v>
      </c>
      <c r="G31" s="7"/>
      <c r="H31" s="7"/>
      <c r="I31" s="113" t="s">
        <v>227</v>
      </c>
      <c r="J31" s="111" t="s">
        <v>228</v>
      </c>
      <c r="K31" s="111" t="s">
        <v>229</v>
      </c>
      <c r="L31" s="111"/>
    </row>
    <row r="32" spans="1:12" ht="131.25" customHeight="1" x14ac:dyDescent="0.45">
      <c r="A32" s="230"/>
      <c r="B32" s="230"/>
      <c r="C32" s="123" t="str">
        <f>HYPERLINK("https://drive.google.com/drive/folders/1oSK6NtdRt7w-MRxmZcNps5lu4tD4cotz", "Lesson 33")</f>
        <v>Lesson 33</v>
      </c>
      <c r="D32" s="18" t="s">
        <v>230</v>
      </c>
      <c r="E32" s="20" t="s">
        <v>231</v>
      </c>
      <c r="F32" s="18" t="s">
        <v>232</v>
      </c>
      <c r="G32" s="11"/>
      <c r="H32" s="11"/>
      <c r="I32" s="113" t="s">
        <v>233</v>
      </c>
      <c r="J32" s="111" t="s">
        <v>234</v>
      </c>
      <c r="K32" s="111" t="s">
        <v>235</v>
      </c>
      <c r="L32" s="111"/>
    </row>
    <row r="33" spans="1:12" ht="91.9" customHeight="1" x14ac:dyDescent="0.45">
      <c r="A33" s="230"/>
      <c r="B33" s="230"/>
      <c r="C33" s="123" t="str">
        <f>HYPERLINK("https://drive.google.com/drive/folders/1oQuS7rTOloSqbCV_-spbxAz8egCQqsGq", "Lesson 34 ")</f>
        <v xml:space="preserve">Lesson 34 </v>
      </c>
      <c r="D33" s="21" t="s">
        <v>236</v>
      </c>
      <c r="E33" s="20" t="s">
        <v>237</v>
      </c>
      <c r="F33" s="18" t="s">
        <v>238</v>
      </c>
      <c r="G33" s="11" t="s">
        <v>239</v>
      </c>
      <c r="H33" s="77" t="s">
        <v>240</v>
      </c>
      <c r="I33" s="113" t="s">
        <v>241</v>
      </c>
      <c r="J33" s="111" t="s">
        <v>242</v>
      </c>
      <c r="K33" s="111" t="s">
        <v>243</v>
      </c>
      <c r="L33" s="117" t="s">
        <v>244</v>
      </c>
    </row>
    <row r="34" spans="1:12" ht="91.9" customHeight="1" x14ac:dyDescent="0.45">
      <c r="A34" s="230"/>
      <c r="B34" s="230"/>
      <c r="C34" s="123" t="str">
        <f>HYPERLINK("https://drive.google.com/drive/folders/1oPiSOhwVYicwtMjKZ18zSMkt0TGay0sU", "Lesson 35 ")</f>
        <v xml:space="preserve">Lesson 35 </v>
      </c>
      <c r="D34" s="18" t="s">
        <v>245</v>
      </c>
      <c r="E34" s="20" t="s">
        <v>246</v>
      </c>
      <c r="F34" s="18" t="s">
        <v>247</v>
      </c>
      <c r="G34" s="11" t="s">
        <v>248</v>
      </c>
      <c r="H34" s="77" t="s">
        <v>249</v>
      </c>
      <c r="I34" s="113" t="s">
        <v>250</v>
      </c>
      <c r="J34" s="111" t="s">
        <v>251</v>
      </c>
      <c r="K34" s="111" t="s">
        <v>252</v>
      </c>
      <c r="L34" s="111"/>
    </row>
    <row r="35" spans="1:12" ht="105" customHeight="1" x14ac:dyDescent="0.45">
      <c r="A35" s="230"/>
      <c r="B35" s="230"/>
      <c r="C35" s="123" t="str">
        <f>HYPERLINK("https://drive.google.com/drive/folders/1otJ8nFn3FIoh5nrAWRWwLsadKiVJHZVu", "Lesson 37 ")</f>
        <v xml:space="preserve">Lesson 37 </v>
      </c>
      <c r="D35" s="18" t="s">
        <v>253</v>
      </c>
      <c r="E35" s="22" t="s">
        <v>254</v>
      </c>
      <c r="F35" s="21" t="s">
        <v>255</v>
      </c>
      <c r="G35" s="11"/>
      <c r="H35" s="11"/>
      <c r="I35" s="113" t="s">
        <v>256</v>
      </c>
      <c r="J35" s="111" t="s">
        <v>257</v>
      </c>
      <c r="K35" s="111" t="s">
        <v>258</v>
      </c>
      <c r="L35" s="111"/>
    </row>
    <row r="36" spans="1:12" ht="63.75" customHeight="1" x14ac:dyDescent="0.45">
      <c r="A36" s="230"/>
      <c r="B36" s="230"/>
      <c r="C36" s="123" t="str">
        <f>HYPERLINK("https://drive.google.com/drive/folders/1ot9KBybg6lmOzLn1bGvLKpxgIu-Y4GGD", "Lesson 38")</f>
        <v>Lesson 38</v>
      </c>
      <c r="D36" s="18" t="s">
        <v>259</v>
      </c>
      <c r="E36" s="23" t="s">
        <v>260</v>
      </c>
      <c r="F36" s="21" t="s">
        <v>261</v>
      </c>
      <c r="G36" s="7"/>
      <c r="H36" s="7"/>
      <c r="I36" s="113" t="s">
        <v>262</v>
      </c>
      <c r="J36" s="111" t="s">
        <v>263</v>
      </c>
      <c r="K36" s="111" t="s">
        <v>264</v>
      </c>
      <c r="L36" s="117"/>
    </row>
    <row r="37" spans="1:12" ht="76.5" customHeight="1" x14ac:dyDescent="0.45">
      <c r="A37" s="230"/>
      <c r="B37" s="230"/>
      <c r="C37" s="123" t="str">
        <f>HYPERLINK("https://drive.google.com/drive/folders/1osdbUsjMWqgW83jr2CPFDGc7DT1I2Vgx", "Lesson 39")</f>
        <v>Lesson 39</v>
      </c>
      <c r="D37" s="18" t="s">
        <v>265</v>
      </c>
      <c r="E37" s="22" t="s">
        <v>266</v>
      </c>
      <c r="F37" s="21" t="s">
        <v>267</v>
      </c>
      <c r="G37" s="7" t="s">
        <v>268</v>
      </c>
      <c r="H37" s="76" t="s">
        <v>269</v>
      </c>
      <c r="I37" s="113" t="s">
        <v>270</v>
      </c>
      <c r="J37" s="111" t="s">
        <v>271</v>
      </c>
      <c r="K37" s="111" t="s">
        <v>272</v>
      </c>
      <c r="L37" s="117" t="s">
        <v>273</v>
      </c>
    </row>
    <row r="38" spans="1:12" ht="76.5" customHeight="1" x14ac:dyDescent="0.45">
      <c r="A38" s="230"/>
      <c r="B38" s="230"/>
      <c r="C38" s="123" t="str">
        <f>HYPERLINK("https://drive.google.com/drive/folders/1oqFoSlSEFJRcQ9lcP7ZwOTZZqHHwoNhS", "Lesson 40 ")</f>
        <v xml:space="preserve">Lesson 40 </v>
      </c>
      <c r="D38" s="18" t="s">
        <v>274</v>
      </c>
      <c r="E38" s="23" t="s">
        <v>275</v>
      </c>
      <c r="F38" s="21" t="s">
        <v>276</v>
      </c>
      <c r="G38" s="7" t="s">
        <v>277</v>
      </c>
      <c r="H38" s="76" t="s">
        <v>278</v>
      </c>
      <c r="I38" s="113" t="s">
        <v>279</v>
      </c>
      <c r="J38" s="111" t="s">
        <v>280</v>
      </c>
      <c r="K38" s="111" t="s">
        <v>281</v>
      </c>
      <c r="L38" s="117" t="s">
        <v>282</v>
      </c>
    </row>
    <row r="39" spans="1:12" ht="89.25" customHeight="1" x14ac:dyDescent="0.45">
      <c r="A39" s="230"/>
      <c r="B39" s="230"/>
      <c r="C39" s="123" t="str">
        <f>HYPERLINK("https://drive.google.com/drive/folders/1opf2wIG9CSRYWCigG3eD9Nt97CMY4yol", "Lesson 41 ")</f>
        <v xml:space="preserve">Lesson 41 </v>
      </c>
      <c r="D39" s="18" t="s">
        <v>283</v>
      </c>
      <c r="E39" s="20" t="s">
        <v>284</v>
      </c>
      <c r="F39" s="18" t="s">
        <v>285</v>
      </c>
      <c r="G39" s="7"/>
      <c r="H39" s="76" t="s">
        <v>286</v>
      </c>
      <c r="I39" s="113" t="s">
        <v>287</v>
      </c>
      <c r="J39" s="111" t="s">
        <v>288</v>
      </c>
      <c r="K39" s="116" t="s">
        <v>289</v>
      </c>
      <c r="L39" s="117" t="s">
        <v>290</v>
      </c>
    </row>
    <row r="40" spans="1:12" ht="102" customHeight="1" x14ac:dyDescent="0.45">
      <c r="A40" s="230"/>
      <c r="B40" s="230"/>
      <c r="C40" s="123" t="str">
        <f>HYPERLINK("https://drive.google.com/drive/folders/1okK61UNanqPjtCEb-B-MU11ozL9PvUiu", "Lesson 42 ")</f>
        <v xml:space="preserve">Lesson 42 </v>
      </c>
      <c r="D40" s="18" t="s">
        <v>291</v>
      </c>
      <c r="E40" s="20" t="s">
        <v>292</v>
      </c>
      <c r="F40" s="18" t="s">
        <v>293</v>
      </c>
      <c r="G40" s="7" t="s">
        <v>294</v>
      </c>
      <c r="H40" s="76" t="s">
        <v>295</v>
      </c>
      <c r="I40" s="113" t="s">
        <v>296</v>
      </c>
      <c r="J40" s="111" t="s">
        <v>297</v>
      </c>
      <c r="K40" s="111" t="s">
        <v>298</v>
      </c>
      <c r="L40" s="111"/>
    </row>
    <row r="41" spans="1:12" ht="78.75" customHeight="1" x14ac:dyDescent="0.45">
      <c r="A41" s="230"/>
      <c r="B41" s="230"/>
      <c r="C41" s="123" t="str">
        <f>HYPERLINK("https://drive.google.com/drive/folders/1oihxkNL1czhQfq3wvJTb8V1tL4fMrLXl", "Lesson 43 ")</f>
        <v xml:space="preserve">Lesson 43 </v>
      </c>
      <c r="D41" s="18" t="s">
        <v>299</v>
      </c>
      <c r="E41" s="19" t="s">
        <v>300</v>
      </c>
      <c r="F41" s="18" t="s">
        <v>301</v>
      </c>
      <c r="G41" s="11"/>
      <c r="H41" s="11"/>
      <c r="I41" s="113" t="s">
        <v>302</v>
      </c>
      <c r="J41" s="111" t="s">
        <v>303</v>
      </c>
      <c r="K41" s="111" t="s">
        <v>304</v>
      </c>
      <c r="L41" s="111"/>
    </row>
    <row r="42" spans="1:12" ht="91.9" customHeight="1" x14ac:dyDescent="0.45">
      <c r="A42" s="230"/>
      <c r="B42" s="230"/>
      <c r="C42" s="123" t="str">
        <f>HYPERLINK("https://drive.google.com/drive/folders/1ogxAaPD0xVPjVXjXJfPOUMTbKpumJqNX", "Lesson 44  ")</f>
        <v xml:space="preserve">Lesson 44  </v>
      </c>
      <c r="D42" s="18" t="s">
        <v>305</v>
      </c>
      <c r="E42" s="19" t="s">
        <v>306</v>
      </c>
      <c r="F42" s="18" t="s">
        <v>307</v>
      </c>
      <c r="G42" s="11" t="s">
        <v>308</v>
      </c>
      <c r="H42" s="77" t="s">
        <v>309</v>
      </c>
      <c r="I42" s="113" t="s">
        <v>310</v>
      </c>
      <c r="J42" s="111" t="s">
        <v>311</v>
      </c>
      <c r="K42" s="116" t="s">
        <v>312</v>
      </c>
      <c r="L42" s="111"/>
    </row>
    <row r="43" spans="1:12" ht="78.75" customHeight="1" x14ac:dyDescent="0.45">
      <c r="A43" s="230"/>
      <c r="B43" s="230"/>
      <c r="C43" s="123" t="str">
        <f>HYPERLINK("https://drive.google.com/drive/folders/1ogKTBIfRC4J-Yu5Wd1I-mmGktViFRvfb", "Lesson 45  ")</f>
        <v xml:space="preserve">Lesson 45  </v>
      </c>
      <c r="D43" s="18" t="s">
        <v>313</v>
      </c>
      <c r="E43" s="19" t="s">
        <v>314</v>
      </c>
      <c r="F43" s="18" t="s">
        <v>315</v>
      </c>
      <c r="G43" s="11" t="s">
        <v>316</v>
      </c>
      <c r="H43" s="77" t="s">
        <v>317</v>
      </c>
      <c r="I43" s="113" t="s">
        <v>318</v>
      </c>
      <c r="J43" s="111" t="s">
        <v>319</v>
      </c>
      <c r="K43" s="111" t="s">
        <v>320</v>
      </c>
      <c r="L43" s="111"/>
    </row>
    <row r="44" spans="1:12" ht="91.9" customHeight="1" x14ac:dyDescent="0.45">
      <c r="A44" s="230"/>
      <c r="B44" s="230"/>
      <c r="C44" s="123" t="str">
        <f>HYPERLINK("https://drive.google.com/drive/folders/1ovZonrn40fpHtWgJeX7RCK67cawhQlrg", "Lesson 46 ")</f>
        <v xml:space="preserve">Lesson 46 </v>
      </c>
      <c r="D44" s="18" t="s">
        <v>321</v>
      </c>
      <c r="E44" s="20" t="s">
        <v>292</v>
      </c>
      <c r="F44" s="18" t="s">
        <v>322</v>
      </c>
      <c r="G44" s="11"/>
      <c r="H44" s="11"/>
      <c r="I44" s="113" t="s">
        <v>323</v>
      </c>
      <c r="J44" s="111" t="s">
        <v>324</v>
      </c>
      <c r="K44" s="116" t="s">
        <v>325</v>
      </c>
      <c r="L44" s="117" t="s">
        <v>326</v>
      </c>
    </row>
    <row r="45" spans="1:12" ht="65.650000000000006" customHeight="1" x14ac:dyDescent="0.45">
      <c r="A45" s="230"/>
      <c r="B45" s="231"/>
      <c r="C45" s="240" t="s">
        <v>327</v>
      </c>
      <c r="D45" s="235"/>
      <c r="E45" s="235"/>
      <c r="F45" s="236"/>
      <c r="G45" s="11"/>
      <c r="H45" s="11"/>
      <c r="I45" s="124" t="s">
        <v>327</v>
      </c>
      <c r="J45" s="111"/>
      <c r="K45" s="111"/>
      <c r="L45" s="111" t="s">
        <v>328</v>
      </c>
    </row>
    <row r="46" spans="1:12" ht="140.25" customHeight="1" x14ac:dyDescent="0.45">
      <c r="A46" s="230"/>
      <c r="B46" s="242" t="s">
        <v>329</v>
      </c>
      <c r="C46" s="125" t="str">
        <f>HYPERLINK("https://drive.google.com/drive/folders/1p-CAloQyDNbERmhYrJ6w7TCiJETKtLGu", "Lesson 49 ")</f>
        <v xml:space="preserve">Lesson 49 </v>
      </c>
      <c r="D46" s="24" t="s">
        <v>330</v>
      </c>
      <c r="E46" s="25" t="s">
        <v>331</v>
      </c>
      <c r="F46" s="24" t="s">
        <v>332</v>
      </c>
      <c r="G46" s="7"/>
      <c r="H46" s="7"/>
      <c r="I46" s="113" t="s">
        <v>333</v>
      </c>
      <c r="J46" s="111" t="s">
        <v>334</v>
      </c>
      <c r="K46" s="111" t="s">
        <v>335</v>
      </c>
      <c r="L46" s="111"/>
    </row>
    <row r="47" spans="1:12" ht="76.5" customHeight="1" x14ac:dyDescent="0.45">
      <c r="A47" s="230"/>
      <c r="B47" s="230"/>
      <c r="C47" s="125" t="str">
        <f>HYPERLINK("https://drive.google.com/drive/folders/1oyhA9tDeE-d-3J7JhpQMyArswM3fN4yh", "Lesson 50 ")</f>
        <v xml:space="preserve">Lesson 50 </v>
      </c>
      <c r="D47" s="24" t="s">
        <v>336</v>
      </c>
      <c r="E47" s="25" t="s">
        <v>337</v>
      </c>
      <c r="F47" s="24" t="s">
        <v>338</v>
      </c>
      <c r="G47" s="7"/>
      <c r="H47" s="7"/>
      <c r="I47" s="113" t="s">
        <v>339</v>
      </c>
      <c r="J47" s="111" t="s">
        <v>340</v>
      </c>
      <c r="K47" s="111" t="s">
        <v>341</v>
      </c>
      <c r="L47" s="111"/>
    </row>
    <row r="48" spans="1:12" ht="89.25" customHeight="1" x14ac:dyDescent="0.45">
      <c r="A48" s="230"/>
      <c r="B48" s="230"/>
      <c r="C48" s="125" t="str">
        <f>HYPERLINK("https://drive.google.com/drive/folders/1oyKxE4QdGOjx5ZDzbtNrATz8Vt8OnD-k", "Lesson 51 ")</f>
        <v xml:space="preserve">Lesson 51 </v>
      </c>
      <c r="D48" s="24" t="s">
        <v>342</v>
      </c>
      <c r="E48" s="26" t="s">
        <v>343</v>
      </c>
      <c r="F48" s="24" t="s">
        <v>344</v>
      </c>
      <c r="G48" s="7" t="s">
        <v>345</v>
      </c>
      <c r="H48" s="76" t="s">
        <v>346</v>
      </c>
      <c r="I48" s="113" t="s">
        <v>347</v>
      </c>
      <c r="J48" s="111" t="s">
        <v>348</v>
      </c>
      <c r="K48" s="111" t="s">
        <v>349</v>
      </c>
      <c r="L48" s="111"/>
    </row>
    <row r="49" spans="1:12" ht="127.5" customHeight="1" x14ac:dyDescent="0.45">
      <c r="A49" s="230"/>
      <c r="B49" s="230"/>
      <c r="C49" s="125" t="str">
        <f>HYPERLINK("https://drive.google.com/drive/folders/1ow3tQ8l92dnZzZZ9gwky45Yr4vZHZ4Vj", "Lesson 52 ")</f>
        <v xml:space="preserve">Lesson 52 </v>
      </c>
      <c r="D49" s="24" t="s">
        <v>350</v>
      </c>
      <c r="E49" s="25" t="s">
        <v>351</v>
      </c>
      <c r="F49" s="24" t="s">
        <v>352</v>
      </c>
      <c r="G49" s="7" t="s">
        <v>353</v>
      </c>
      <c r="H49" s="7"/>
      <c r="I49" s="113" t="s">
        <v>354</v>
      </c>
      <c r="J49" s="111" t="s">
        <v>355</v>
      </c>
      <c r="K49" s="111" t="s">
        <v>356</v>
      </c>
      <c r="L49" s="111"/>
    </row>
    <row r="50" spans="1:12" ht="140.25" customHeight="1" x14ac:dyDescent="0.45">
      <c r="A50" s="230"/>
      <c r="B50" s="230"/>
      <c r="C50" s="125" t="str">
        <f>HYPERLINK("https://drive.google.com/drive/folders/1p3I3VjoKUdCATx-vr-RCBHxp9Gfhzil5", "Lesson 53")</f>
        <v>Lesson 53</v>
      </c>
      <c r="D50" s="24" t="s">
        <v>357</v>
      </c>
      <c r="E50" s="25" t="s">
        <v>358</v>
      </c>
      <c r="F50" s="27" t="s">
        <v>359</v>
      </c>
      <c r="G50" s="7" t="s">
        <v>360</v>
      </c>
      <c r="H50" s="76" t="s">
        <v>361</v>
      </c>
      <c r="I50" s="113" t="s">
        <v>362</v>
      </c>
      <c r="J50" s="111" t="s">
        <v>363</v>
      </c>
      <c r="K50" s="111" t="s">
        <v>364</v>
      </c>
      <c r="L50" s="111" t="s">
        <v>365</v>
      </c>
    </row>
    <row r="51" spans="1:12" ht="127.5" customHeight="1" x14ac:dyDescent="0.45">
      <c r="A51" s="230"/>
      <c r="B51" s="230"/>
      <c r="C51" s="125" t="str">
        <f>HYPERLINK("https://drive.google.com/drive/folders/1pMhCnrSDb02tEq23tWCRA_G3JM7bqcLG", "Lesson 54 ")</f>
        <v xml:space="preserve">Lesson 54 </v>
      </c>
      <c r="D51" s="28" t="s">
        <v>366</v>
      </c>
      <c r="E51" s="25" t="s">
        <v>367</v>
      </c>
      <c r="F51" s="24" t="s">
        <v>368</v>
      </c>
      <c r="G51" s="7"/>
      <c r="H51" s="7" t="s">
        <v>369</v>
      </c>
      <c r="I51" s="113" t="s">
        <v>370</v>
      </c>
      <c r="J51" s="111" t="s">
        <v>371</v>
      </c>
      <c r="K51" s="111" t="s">
        <v>372</v>
      </c>
      <c r="L51" s="111"/>
    </row>
    <row r="52" spans="1:12" ht="114.75" customHeight="1" x14ac:dyDescent="0.45">
      <c r="A52" s="230"/>
      <c r="B52" s="230"/>
      <c r="C52" s="125" t="str">
        <f>HYPERLINK("https://drive.google.com/drive/folders/1pLYDDppEg-mdl_tQI4zRAmqFaJQTq6S9", "Lesson 55 ")</f>
        <v xml:space="preserve">Lesson 55 </v>
      </c>
      <c r="D52" s="24" t="s">
        <v>373</v>
      </c>
      <c r="E52" s="25" t="s">
        <v>374</v>
      </c>
      <c r="F52" s="24" t="s">
        <v>375</v>
      </c>
      <c r="G52" s="7"/>
      <c r="H52" s="7"/>
      <c r="I52" s="113" t="s">
        <v>376</v>
      </c>
      <c r="J52" s="111" t="s">
        <v>377</v>
      </c>
      <c r="K52" s="111" t="s">
        <v>378</v>
      </c>
      <c r="L52" s="111"/>
    </row>
    <row r="53" spans="1:12" ht="114.75" customHeight="1" x14ac:dyDescent="0.45">
      <c r="A53" s="230"/>
      <c r="B53" s="230"/>
      <c r="C53" s="126" t="s">
        <v>379</v>
      </c>
      <c r="D53" s="24" t="s">
        <v>380</v>
      </c>
      <c r="E53" s="25" t="s">
        <v>381</v>
      </c>
      <c r="F53" s="24" t="s">
        <v>382</v>
      </c>
      <c r="G53" s="7" t="s">
        <v>383</v>
      </c>
      <c r="H53" s="76" t="s">
        <v>384</v>
      </c>
      <c r="I53" s="119" t="s">
        <v>385</v>
      </c>
      <c r="J53" s="111" t="s">
        <v>386</v>
      </c>
      <c r="K53" s="111" t="s">
        <v>387</v>
      </c>
      <c r="L53" s="111"/>
    </row>
    <row r="54" spans="1:12" ht="89.25" customHeight="1" x14ac:dyDescent="0.45">
      <c r="A54" s="230"/>
      <c r="B54" s="230"/>
      <c r="C54" s="125" t="str">
        <f>HYPERLINK("https://drive.google.com/drive/folders/1pF3ELaT-zQ1WWCzvx0Zy7tyif_UwPTCk", "Lesson 57")</f>
        <v>Lesson 57</v>
      </c>
      <c r="D54" s="24" t="s">
        <v>388</v>
      </c>
      <c r="E54" s="25" t="s">
        <v>389</v>
      </c>
      <c r="F54" s="24" t="s">
        <v>390</v>
      </c>
      <c r="G54" s="7"/>
      <c r="H54" s="7"/>
      <c r="I54" s="113" t="s">
        <v>391</v>
      </c>
      <c r="J54" s="111" t="s">
        <v>392</v>
      </c>
      <c r="K54" s="116" t="s">
        <v>393</v>
      </c>
      <c r="L54" s="117"/>
    </row>
    <row r="55" spans="1:12" ht="114.75" customHeight="1" x14ac:dyDescent="0.45">
      <c r="A55" s="230"/>
      <c r="B55" s="230"/>
      <c r="C55" s="125" t="str">
        <f>HYPERLINK("https://drive.google.com/drive/folders/1pDgdvW-ukLRUfJqz44aW4NREk7jPc3gz", "Lesson 59 ")</f>
        <v xml:space="preserve">Lesson 59 </v>
      </c>
      <c r="D55" s="24" t="s">
        <v>394</v>
      </c>
      <c r="E55" s="29" t="s">
        <v>395</v>
      </c>
      <c r="F55" s="28" t="s">
        <v>396</v>
      </c>
      <c r="G55" s="7"/>
      <c r="H55" s="7"/>
      <c r="I55" s="113" t="s">
        <v>397</v>
      </c>
      <c r="J55" s="111" t="s">
        <v>398</v>
      </c>
      <c r="K55" s="111" t="s">
        <v>399</v>
      </c>
      <c r="L55" s="111"/>
    </row>
    <row r="56" spans="1:12" ht="165.75" customHeight="1" x14ac:dyDescent="0.45">
      <c r="A56" s="230"/>
      <c r="B56" s="230"/>
      <c r="C56" s="126" t="s">
        <v>400</v>
      </c>
      <c r="D56" s="24" t="s">
        <v>401</v>
      </c>
      <c r="E56" s="29" t="s">
        <v>402</v>
      </c>
      <c r="F56" s="28" t="s">
        <v>396</v>
      </c>
      <c r="G56" s="7" t="s">
        <v>403</v>
      </c>
      <c r="H56" s="76" t="s">
        <v>404</v>
      </c>
      <c r="I56" s="119" t="s">
        <v>405</v>
      </c>
      <c r="J56" s="111" t="s">
        <v>406</v>
      </c>
      <c r="K56" s="116" t="s">
        <v>407</v>
      </c>
      <c r="L56" s="117" t="s">
        <v>408</v>
      </c>
    </row>
    <row r="57" spans="1:12" ht="102" customHeight="1" x14ac:dyDescent="0.45">
      <c r="A57" s="230"/>
      <c r="B57" s="230"/>
      <c r="C57" s="125" t="str">
        <f>HYPERLINK("https://drive.google.com/drive/folders/1pAzYDJf-FYrSVn7sE9aGBxwR8zKpOwnd", "Lesson 61 ")</f>
        <v xml:space="preserve">Lesson 61 </v>
      </c>
      <c r="D57" s="24" t="s">
        <v>409</v>
      </c>
      <c r="E57" s="25" t="s">
        <v>410</v>
      </c>
      <c r="F57" s="24" t="s">
        <v>411</v>
      </c>
      <c r="G57" s="7"/>
      <c r="H57" s="7"/>
      <c r="I57" s="113" t="s">
        <v>412</v>
      </c>
      <c r="J57" s="111" t="s">
        <v>413</v>
      </c>
      <c r="K57" s="116" t="s">
        <v>414</v>
      </c>
      <c r="L57" s="111"/>
    </row>
    <row r="58" spans="1:12" ht="91.9" customHeight="1" x14ac:dyDescent="0.45">
      <c r="A58" s="230"/>
      <c r="B58" s="230"/>
      <c r="C58" s="125" t="str">
        <f>HYPERLINK("https://drive.google.com/drive/folders/1p9R7RMZOy6Uv7-OzT0VPo5USuBDzX1O6", "Lesson 62")</f>
        <v>Lesson 62</v>
      </c>
      <c r="D58" s="24" t="s">
        <v>415</v>
      </c>
      <c r="E58" s="30" t="s">
        <v>416</v>
      </c>
      <c r="F58" s="27" t="s">
        <v>411</v>
      </c>
      <c r="G58" s="11" t="s">
        <v>417</v>
      </c>
      <c r="H58" s="11" t="s">
        <v>418</v>
      </c>
      <c r="I58" s="113" t="s">
        <v>419</v>
      </c>
      <c r="J58" s="111" t="s">
        <v>420</v>
      </c>
      <c r="K58" s="116" t="s">
        <v>421</v>
      </c>
      <c r="L58" s="111"/>
    </row>
    <row r="59" spans="1:12" ht="65.650000000000006" customHeight="1" x14ac:dyDescent="0.45">
      <c r="A59" s="230"/>
      <c r="B59" s="230"/>
      <c r="C59" s="240" t="s">
        <v>422</v>
      </c>
      <c r="D59" s="235"/>
      <c r="E59" s="235"/>
      <c r="F59" s="236"/>
      <c r="G59" s="11"/>
      <c r="H59" s="11"/>
      <c r="I59" s="124" t="s">
        <v>422</v>
      </c>
      <c r="J59" s="111"/>
      <c r="K59" s="111"/>
      <c r="L59" s="111" t="s">
        <v>423</v>
      </c>
    </row>
    <row r="60" spans="1:12" ht="76.5" customHeight="1" x14ac:dyDescent="0.45">
      <c r="A60" s="230"/>
      <c r="B60" s="230"/>
      <c r="C60" s="125" t="str">
        <f>HYPERLINK("https://drive.google.com/drive/folders/1p8nGCe44XkgqhopplbtAENDVouZjit9P", "Lesson 63 ")</f>
        <v xml:space="preserve">Lesson 63 </v>
      </c>
      <c r="D60" s="24" t="s">
        <v>424</v>
      </c>
      <c r="E60" s="25" t="s">
        <v>425</v>
      </c>
      <c r="F60" s="24" t="s">
        <v>426</v>
      </c>
      <c r="G60" s="7"/>
      <c r="H60" s="7"/>
      <c r="I60" s="113" t="s">
        <v>427</v>
      </c>
      <c r="J60" s="111" t="s">
        <v>428</v>
      </c>
      <c r="K60" s="111" t="s">
        <v>429</v>
      </c>
      <c r="L60" s="117" t="s">
        <v>430</v>
      </c>
    </row>
    <row r="61" spans="1:12" ht="102" customHeight="1" x14ac:dyDescent="0.45">
      <c r="A61" s="230"/>
      <c r="B61" s="230"/>
      <c r="C61" s="125" t="str">
        <f>HYPERLINK("https://drive.google.com/drive/folders/1p7nqaNSU76Yqp8Hao_f9R7JZ4T_OxQoX", "Lesson 64 ")</f>
        <v xml:space="preserve">Lesson 64 </v>
      </c>
      <c r="D61" s="24" t="s">
        <v>431</v>
      </c>
      <c r="E61" s="25" t="s">
        <v>432</v>
      </c>
      <c r="F61" s="24" t="s">
        <v>433</v>
      </c>
      <c r="G61" s="7"/>
      <c r="H61" s="7"/>
      <c r="I61" s="113" t="s">
        <v>434</v>
      </c>
      <c r="J61" s="111" t="s">
        <v>435</v>
      </c>
      <c r="K61" s="111" t="s">
        <v>436</v>
      </c>
      <c r="L61" s="117" t="s">
        <v>437</v>
      </c>
    </row>
    <row r="62" spans="1:12" ht="114.75" customHeight="1" x14ac:dyDescent="0.45">
      <c r="A62" s="231"/>
      <c r="B62" s="231"/>
      <c r="C62" s="125" t="str">
        <f>HYPERLINK("https://drive.google.com/drive/folders/1p6W-6kjWQDvtr24rW5AV5q3K5yKgQPVa", "Lesson 65 ")</f>
        <v xml:space="preserve">Lesson 65 </v>
      </c>
      <c r="D62" s="24" t="s">
        <v>438</v>
      </c>
      <c r="E62" s="25" t="s">
        <v>439</v>
      </c>
      <c r="F62" s="27" t="s">
        <v>440</v>
      </c>
      <c r="G62" s="7"/>
      <c r="H62" s="7"/>
      <c r="I62" s="113" t="s">
        <v>441</v>
      </c>
      <c r="J62" s="111" t="s">
        <v>442</v>
      </c>
      <c r="K62" s="111" t="s">
        <v>443</v>
      </c>
      <c r="L62" s="111"/>
    </row>
    <row r="63" spans="1:12" ht="245.25" customHeight="1" x14ac:dyDescent="0.45">
      <c r="A63" s="82"/>
      <c r="B63" s="81"/>
      <c r="C63" s="127" t="str">
        <f>HYPERLINK("https://drive.google.com/drive/folders/1p4Tj4mTMSijA21EthVlauI8fsAcLYgYI", "Lesson 67 ")</f>
        <v xml:space="preserve">Lesson 67 </v>
      </c>
      <c r="D63" s="31" t="s">
        <v>444</v>
      </c>
      <c r="E63" s="32" t="s">
        <v>445</v>
      </c>
      <c r="F63" s="128" t="s">
        <v>446</v>
      </c>
      <c r="G63" s="33" t="s">
        <v>447</v>
      </c>
      <c r="H63" s="76" t="s">
        <v>448</v>
      </c>
      <c r="I63" s="113" t="s">
        <v>449</v>
      </c>
      <c r="J63" s="111" t="s">
        <v>450</v>
      </c>
      <c r="K63" s="111" t="s">
        <v>451</v>
      </c>
      <c r="L63" s="117" t="s">
        <v>452</v>
      </c>
    </row>
    <row r="64" spans="1:12" ht="245.25" customHeight="1" x14ac:dyDescent="0.45">
      <c r="A64" s="239" t="s">
        <v>453</v>
      </c>
      <c r="B64" s="245" t="s">
        <v>12</v>
      </c>
      <c r="C64" s="127" t="str">
        <f>HYPERLINK("https://drive.google.com/drive/folders/1p4KKX4ijAI177jwKmR5W0uXlYlglKCa5", "Lesson 68")</f>
        <v>Lesson 68</v>
      </c>
      <c r="D64" s="31" t="s">
        <v>454</v>
      </c>
      <c r="E64" s="32" t="s">
        <v>455</v>
      </c>
      <c r="F64" s="34" t="s">
        <v>456</v>
      </c>
      <c r="G64" s="7" t="s">
        <v>457</v>
      </c>
      <c r="H64" s="76" t="s">
        <v>458</v>
      </c>
      <c r="I64" s="113" t="s">
        <v>459</v>
      </c>
      <c r="J64" s="111" t="s">
        <v>460</v>
      </c>
      <c r="K64" s="111" t="s">
        <v>461</v>
      </c>
      <c r="L64" s="111" t="s">
        <v>462</v>
      </c>
    </row>
    <row r="65" spans="1:12" ht="114.75" customHeight="1" x14ac:dyDescent="0.45">
      <c r="A65" s="230"/>
      <c r="B65" s="230"/>
      <c r="C65" s="127" t="str">
        <f>HYPERLINK("https://drive.google.com/drive/folders/1p4FHEnfQcpcUAqSeoVp7qN1ai6Y76qTj", "Lesson 69 ")</f>
        <v xml:space="preserve">Lesson 69 </v>
      </c>
      <c r="D65" s="31" t="s">
        <v>463</v>
      </c>
      <c r="E65" s="32" t="s">
        <v>464</v>
      </c>
      <c r="F65" s="34" t="s">
        <v>465</v>
      </c>
      <c r="G65" s="7"/>
      <c r="H65" s="7"/>
      <c r="I65" s="113" t="s">
        <v>466</v>
      </c>
      <c r="J65" s="111" t="s">
        <v>467</v>
      </c>
      <c r="K65" s="111" t="s">
        <v>468</v>
      </c>
      <c r="L65" s="111"/>
    </row>
    <row r="66" spans="1:12" ht="127.5" customHeight="1" x14ac:dyDescent="0.45">
      <c r="A66" s="230"/>
      <c r="B66" s="230"/>
      <c r="C66" s="129" t="s">
        <v>469</v>
      </c>
      <c r="D66" s="31" t="s">
        <v>470</v>
      </c>
      <c r="E66" s="32" t="s">
        <v>471</v>
      </c>
      <c r="F66" s="34" t="s">
        <v>472</v>
      </c>
      <c r="G66" s="7"/>
      <c r="H66" s="7" t="s">
        <v>473</v>
      </c>
      <c r="I66" s="119" t="s">
        <v>474</v>
      </c>
      <c r="J66" s="111" t="s">
        <v>475</v>
      </c>
      <c r="K66" s="111" t="s">
        <v>476</v>
      </c>
      <c r="L66" s="111"/>
    </row>
    <row r="67" spans="1:12" ht="89.25" customHeight="1" x14ac:dyDescent="0.45">
      <c r="A67" s="230"/>
      <c r="B67" s="230"/>
      <c r="C67" s="127" t="str">
        <f>HYPERLINK("https://drive.google.com/drive/folders/1pMhkm9ZCOD6LewP318LqQnBttMIRHqKu", "Lesson 71")</f>
        <v>Lesson 71</v>
      </c>
      <c r="D67" s="31" t="s">
        <v>477</v>
      </c>
      <c r="E67" s="35" t="s">
        <v>478</v>
      </c>
      <c r="F67" s="31" t="s">
        <v>479</v>
      </c>
      <c r="G67" s="7"/>
      <c r="H67" s="7" t="s">
        <v>480</v>
      </c>
      <c r="I67" s="113" t="s">
        <v>481</v>
      </c>
      <c r="J67" s="111" t="s">
        <v>482</v>
      </c>
      <c r="K67" s="111" t="s">
        <v>483</v>
      </c>
      <c r="L67" s="111"/>
    </row>
    <row r="68" spans="1:12" ht="63.75" customHeight="1" x14ac:dyDescent="0.45">
      <c r="A68" s="230"/>
      <c r="B68" s="230"/>
      <c r="C68" s="127" t="str">
        <f>HYPERLINK("https://drive.google.com/drive/folders/1pXGoJn0jpqr7xjdrrtft8oG-7DSD7Nja", "Lesson 72")</f>
        <v>Lesson 72</v>
      </c>
      <c r="D68" s="31" t="s">
        <v>484</v>
      </c>
      <c r="E68" s="35" t="s">
        <v>485</v>
      </c>
      <c r="F68" s="31" t="s">
        <v>486</v>
      </c>
      <c r="G68" s="7"/>
      <c r="H68" s="7"/>
      <c r="I68" s="113" t="s">
        <v>487</v>
      </c>
      <c r="J68" s="111" t="s">
        <v>488</v>
      </c>
      <c r="K68" s="111" t="s">
        <v>489</v>
      </c>
      <c r="L68" s="111"/>
    </row>
    <row r="69" spans="1:12" ht="178.5" customHeight="1" x14ac:dyDescent="0.45">
      <c r="A69" s="230"/>
      <c r="B69" s="230"/>
      <c r="C69" s="127" t="str">
        <f>HYPERLINK("https://drive.google.com/drive/folders/1dDJm38nPGf2bqIePx_4gGCVm2ctnz4lz", "Lesson 73")</f>
        <v>Lesson 73</v>
      </c>
      <c r="D69" s="31" t="s">
        <v>490</v>
      </c>
      <c r="E69" s="36" t="s">
        <v>491</v>
      </c>
      <c r="F69" s="31" t="s">
        <v>492</v>
      </c>
      <c r="G69" s="7"/>
      <c r="H69" s="7"/>
      <c r="I69" s="113" t="s">
        <v>493</v>
      </c>
      <c r="J69" s="111" t="s">
        <v>494</v>
      </c>
      <c r="K69" s="111" t="s">
        <v>495</v>
      </c>
      <c r="L69" s="111"/>
    </row>
    <row r="70" spans="1:12" ht="165.75" customHeight="1" x14ac:dyDescent="0.45">
      <c r="A70" s="230"/>
      <c r="B70" s="230"/>
      <c r="C70" s="127" t="str">
        <f>HYPERLINK("https://drive.google.com/drive/folders/1pU8cbVH6X0m_Ps7XCJMiQaGbSvndaCVT", "Lesson 74")</f>
        <v>Lesson 74</v>
      </c>
      <c r="D70" s="31" t="s">
        <v>496</v>
      </c>
      <c r="E70" s="36" t="s">
        <v>497</v>
      </c>
      <c r="F70" s="31" t="s">
        <v>498</v>
      </c>
      <c r="G70" s="33" t="s">
        <v>499</v>
      </c>
      <c r="H70" s="37"/>
      <c r="I70" s="113" t="s">
        <v>500</v>
      </c>
      <c r="J70" s="111" t="s">
        <v>501</v>
      </c>
      <c r="K70" s="111" t="s">
        <v>502</v>
      </c>
      <c r="L70" s="111"/>
    </row>
    <row r="71" spans="1:12" ht="102" customHeight="1" x14ac:dyDescent="0.45">
      <c r="A71" s="230"/>
      <c r="B71" s="230"/>
      <c r="C71" s="127" t="str">
        <f>HYPERLINK("https://drive.google.com/drive/folders/1pU0UuheghwwVoEoDK5JNVLNm1ektj4Im", "Lesson 75")</f>
        <v>Lesson 75</v>
      </c>
      <c r="D71" s="31" t="s">
        <v>503</v>
      </c>
      <c r="E71" s="36" t="s">
        <v>504</v>
      </c>
      <c r="F71" s="31" t="s">
        <v>505</v>
      </c>
      <c r="G71" s="7"/>
      <c r="H71" s="7"/>
      <c r="I71" s="113" t="s">
        <v>506</v>
      </c>
      <c r="J71" s="111" t="s">
        <v>507</v>
      </c>
      <c r="K71" s="111" t="s">
        <v>508</v>
      </c>
      <c r="L71" s="111"/>
    </row>
    <row r="72" spans="1:12" ht="76.5" customHeight="1" x14ac:dyDescent="0.45">
      <c r="A72" s="230"/>
      <c r="B72" s="230"/>
      <c r="C72" s="127" t="str">
        <f>HYPERLINK("https://drive.google.com/drive/folders/1pYVt5E5GRpnVl20q9-MkH6_Z_Ov2BYuw", "Lesson 76")</f>
        <v>Lesson 76</v>
      </c>
      <c r="D72" s="31" t="s">
        <v>509</v>
      </c>
      <c r="E72" s="36" t="s">
        <v>510</v>
      </c>
      <c r="F72" s="31" t="s">
        <v>511</v>
      </c>
      <c r="G72" s="7"/>
      <c r="H72" s="7"/>
      <c r="I72" s="113" t="s">
        <v>512</v>
      </c>
      <c r="J72" s="111" t="s">
        <v>513</v>
      </c>
      <c r="K72" s="111" t="s">
        <v>514</v>
      </c>
      <c r="L72" s="111"/>
    </row>
    <row r="73" spans="1:12" ht="89.25" customHeight="1" x14ac:dyDescent="0.45">
      <c r="A73" s="230"/>
      <c r="B73" s="230"/>
      <c r="C73" s="129" t="s">
        <v>515</v>
      </c>
      <c r="D73" s="31" t="s">
        <v>516</v>
      </c>
      <c r="E73" s="36" t="s">
        <v>517</v>
      </c>
      <c r="F73" s="31" t="s">
        <v>518</v>
      </c>
      <c r="G73" s="7"/>
      <c r="H73" s="7"/>
      <c r="I73" s="119" t="s">
        <v>519</v>
      </c>
      <c r="J73" s="111" t="s">
        <v>520</v>
      </c>
      <c r="K73" s="111" t="s">
        <v>521</v>
      </c>
      <c r="L73" s="111"/>
    </row>
    <row r="74" spans="1:12" ht="89.25" customHeight="1" x14ac:dyDescent="0.45">
      <c r="A74" s="230"/>
      <c r="B74" s="230"/>
      <c r="C74" s="127" t="str">
        <f>HYPERLINK("https://drive.google.com/drive/folders/1paQCxXpSKQXJWyj0VCqCpzdRtAT3PY9V", "Lesson 78")</f>
        <v>Lesson 78</v>
      </c>
      <c r="D74" s="31" t="s">
        <v>522</v>
      </c>
      <c r="E74" s="36" t="s">
        <v>523</v>
      </c>
      <c r="F74" s="31" t="s">
        <v>524</v>
      </c>
      <c r="G74" s="7"/>
      <c r="H74" s="7"/>
      <c r="I74" s="113" t="s">
        <v>525</v>
      </c>
      <c r="J74" s="111" t="s">
        <v>526</v>
      </c>
      <c r="K74" s="111" t="s">
        <v>527</v>
      </c>
      <c r="L74" s="111"/>
    </row>
    <row r="75" spans="1:12" ht="114.75" customHeight="1" x14ac:dyDescent="0.45">
      <c r="A75" s="230"/>
      <c r="B75" s="230"/>
      <c r="C75" s="127" t="str">
        <f>HYPERLINK("https://drive.google.com/drive/folders/1p_m2OoikPVhXBK2BOJkB10WAMI7WRyI2", "Lesson 79")</f>
        <v>Lesson 79</v>
      </c>
      <c r="D75" s="31" t="s">
        <v>528</v>
      </c>
      <c r="E75" s="36" t="s">
        <v>529</v>
      </c>
      <c r="F75" s="31" t="s">
        <v>530</v>
      </c>
      <c r="G75" s="7"/>
      <c r="H75" s="7"/>
      <c r="I75" s="113" t="s">
        <v>531</v>
      </c>
      <c r="J75" s="111" t="s">
        <v>532</v>
      </c>
      <c r="K75" s="111" t="s">
        <v>533</v>
      </c>
      <c r="L75" s="111"/>
    </row>
    <row r="76" spans="1:12" ht="63.75" customHeight="1" x14ac:dyDescent="0.45">
      <c r="A76" s="230"/>
      <c r="B76" s="230"/>
      <c r="C76" s="240" t="s">
        <v>534</v>
      </c>
      <c r="D76" s="235"/>
      <c r="E76" s="235"/>
      <c r="F76" s="236"/>
      <c r="G76" s="7"/>
      <c r="H76" s="7"/>
      <c r="I76" s="119" t="s">
        <v>534</v>
      </c>
      <c r="J76" s="111"/>
      <c r="K76" s="111"/>
      <c r="L76" s="111"/>
    </row>
    <row r="77" spans="1:12" ht="153" customHeight="1" x14ac:dyDescent="0.45">
      <c r="A77" s="230"/>
      <c r="B77" s="230"/>
      <c r="C77" s="127" t="str">
        <f>HYPERLINK("https://drive.google.com/drive/folders/1pfP_pAJdCnk2bmpT_B0HG63jsrzZc9BF", "Lesson 81")</f>
        <v>Lesson 81</v>
      </c>
      <c r="D77" s="31" t="s">
        <v>535</v>
      </c>
      <c r="E77" s="36" t="s">
        <v>536</v>
      </c>
      <c r="F77" s="31" t="s">
        <v>537</v>
      </c>
      <c r="G77" s="7" t="s">
        <v>538</v>
      </c>
      <c r="H77" s="76"/>
      <c r="I77" s="113" t="s">
        <v>539</v>
      </c>
      <c r="J77" s="111" t="s">
        <v>540</v>
      </c>
      <c r="K77" s="111" t="s">
        <v>541</v>
      </c>
      <c r="L77" s="111"/>
    </row>
    <row r="78" spans="1:12" ht="114.75" customHeight="1" x14ac:dyDescent="0.45">
      <c r="A78" s="230"/>
      <c r="B78" s="230"/>
      <c r="C78" s="127" t="str">
        <f>HYPERLINK("https://drive.google.com/drive/folders/1peBvGXrI4IFhtCjOxNJGhNZCRPP-0Osj", "Lesson 82")</f>
        <v>Lesson 82</v>
      </c>
      <c r="D78" s="31" t="s">
        <v>542</v>
      </c>
      <c r="E78" s="36" t="s">
        <v>543</v>
      </c>
      <c r="F78" s="31" t="s">
        <v>544</v>
      </c>
      <c r="G78" s="7" t="s">
        <v>545</v>
      </c>
      <c r="H78" s="76" t="s">
        <v>546</v>
      </c>
      <c r="I78" s="113" t="s">
        <v>547</v>
      </c>
      <c r="J78" s="111" t="s">
        <v>548</v>
      </c>
      <c r="K78" s="111" t="s">
        <v>549</v>
      </c>
      <c r="L78" s="111"/>
    </row>
    <row r="79" spans="1:12" ht="140.25" customHeight="1" x14ac:dyDescent="0.45">
      <c r="A79" s="230"/>
      <c r="B79" s="230"/>
      <c r="C79" s="129" t="s">
        <v>550</v>
      </c>
      <c r="D79" s="31" t="s">
        <v>551</v>
      </c>
      <c r="E79" s="36" t="s">
        <v>552</v>
      </c>
      <c r="F79" s="31" t="s">
        <v>553</v>
      </c>
      <c r="G79" s="7" t="s">
        <v>554</v>
      </c>
      <c r="H79" s="76" t="s">
        <v>555</v>
      </c>
      <c r="I79" s="119" t="s">
        <v>556</v>
      </c>
      <c r="J79" s="111" t="s">
        <v>557</v>
      </c>
      <c r="K79" s="111" t="s">
        <v>558</v>
      </c>
      <c r="L79" s="117" t="s">
        <v>559</v>
      </c>
    </row>
    <row r="80" spans="1:12" ht="114.75" customHeight="1" x14ac:dyDescent="0.45">
      <c r="A80" s="230"/>
      <c r="B80" s="230"/>
      <c r="C80" s="127" t="str">
        <f>HYPERLINK("https://drive.google.com/drive/folders/1pdolYgyKWB9TGGmLZW23XZ2-vK-LUmB9", "Lesson 84")</f>
        <v>Lesson 84</v>
      </c>
      <c r="D80" s="31" t="s">
        <v>560</v>
      </c>
      <c r="E80" s="36" t="s">
        <v>561</v>
      </c>
      <c r="F80" s="31" t="s">
        <v>562</v>
      </c>
      <c r="G80" s="7" t="s">
        <v>563</v>
      </c>
      <c r="H80" s="76" t="s">
        <v>564</v>
      </c>
      <c r="I80" s="113" t="s">
        <v>565</v>
      </c>
      <c r="J80" s="111" t="s">
        <v>566</v>
      </c>
      <c r="K80" s="111" t="s">
        <v>567</v>
      </c>
      <c r="L80" s="111" t="s">
        <v>568</v>
      </c>
    </row>
    <row r="81" spans="1:12" ht="76.5" customHeight="1" x14ac:dyDescent="0.45">
      <c r="A81" s="230"/>
      <c r="B81" s="230"/>
      <c r="C81" s="127" t="str">
        <f>HYPERLINK("https://drive.google.com/drive/folders/1pj0jYXe7j_JqLuDpdTRa_LBApL1yQYWX", "Lesson 85")</f>
        <v>Lesson 85</v>
      </c>
      <c r="D81" s="31" t="s">
        <v>569</v>
      </c>
      <c r="E81" s="36" t="s">
        <v>570</v>
      </c>
      <c r="F81" s="31" t="s">
        <v>571</v>
      </c>
      <c r="G81" s="7"/>
      <c r="H81" s="7"/>
      <c r="I81" s="113" t="s">
        <v>572</v>
      </c>
      <c r="J81" s="111" t="s">
        <v>573</v>
      </c>
      <c r="K81" s="111" t="s">
        <v>574</v>
      </c>
      <c r="L81" s="111"/>
    </row>
    <row r="82" spans="1:12" ht="102" customHeight="1" x14ac:dyDescent="0.45">
      <c r="A82" s="230"/>
      <c r="B82" s="230"/>
      <c r="C82" s="127" t="str">
        <f>HYPERLINK("https://drive.google.com/drive/folders/1pgmOG1TcEZaCJS1Qgodvd_6NGG-lg-zz", "Lesson 86")</f>
        <v>Lesson 86</v>
      </c>
      <c r="D82" s="31" t="s">
        <v>575</v>
      </c>
      <c r="E82" s="36" t="s">
        <v>576</v>
      </c>
      <c r="F82" s="31" t="s">
        <v>577</v>
      </c>
      <c r="G82" s="7"/>
      <c r="H82" s="7"/>
      <c r="I82" s="113" t="s">
        <v>578</v>
      </c>
      <c r="J82" s="111" t="s">
        <v>579</v>
      </c>
      <c r="K82" s="111" t="s">
        <v>580</v>
      </c>
      <c r="L82" s="111"/>
    </row>
    <row r="83" spans="1:12" ht="140.25" customHeight="1" x14ac:dyDescent="0.45">
      <c r="A83" s="230"/>
      <c r="B83" s="230"/>
      <c r="C83" s="127" t="str">
        <f>HYPERLINK("https://drive.google.com/drive/folders/1pj16ej9ov2MbpDcBkKwkmjr9GomEru_z", "Lesson 87")</f>
        <v>Lesson 87</v>
      </c>
      <c r="D83" s="31" t="s">
        <v>581</v>
      </c>
      <c r="E83" s="36" t="s">
        <v>582</v>
      </c>
      <c r="F83" s="31" t="s">
        <v>583</v>
      </c>
      <c r="G83" s="7"/>
      <c r="H83" s="7"/>
      <c r="I83" s="113" t="s">
        <v>584</v>
      </c>
      <c r="J83" s="111" t="s">
        <v>585</v>
      </c>
      <c r="K83" s="111" t="s">
        <v>586</v>
      </c>
      <c r="L83" s="111"/>
    </row>
    <row r="84" spans="1:12" ht="191.25" customHeight="1" x14ac:dyDescent="0.45">
      <c r="A84" s="230"/>
      <c r="B84" s="230"/>
      <c r="C84" s="127" t="str">
        <f>HYPERLINK("https://drive.google.com/drive/folders/1pjE3tfs0ZloirnAJ7k-VLJG1RJpigXlx", "Lesson 88")</f>
        <v>Lesson 88</v>
      </c>
      <c r="D84" s="31" t="s">
        <v>587</v>
      </c>
      <c r="E84" s="36" t="s">
        <v>588</v>
      </c>
      <c r="F84" s="31" t="s">
        <v>589</v>
      </c>
      <c r="G84" s="7"/>
      <c r="H84" s="7"/>
      <c r="I84" s="113" t="s">
        <v>590</v>
      </c>
      <c r="J84" s="111" t="s">
        <v>591</v>
      </c>
      <c r="K84" s="111" t="s">
        <v>592</v>
      </c>
      <c r="L84" s="111"/>
    </row>
    <row r="85" spans="1:12" ht="89.25" customHeight="1" x14ac:dyDescent="0.45">
      <c r="A85" s="230"/>
      <c r="B85" s="230"/>
      <c r="C85" s="127" t="str">
        <f>HYPERLINK("https://drive.google.com/drive/folders/1puvsPjXgRfmKNefmNxhwLqHYvv4teXiO", "Lesson 89")</f>
        <v>Lesson 89</v>
      </c>
      <c r="D85" s="31" t="s">
        <v>593</v>
      </c>
      <c r="E85" s="35" t="s">
        <v>594</v>
      </c>
      <c r="F85" s="31" t="s">
        <v>595</v>
      </c>
      <c r="G85" s="7" t="s">
        <v>596</v>
      </c>
      <c r="H85" s="7" t="s">
        <v>597</v>
      </c>
      <c r="I85" s="113" t="s">
        <v>598</v>
      </c>
      <c r="J85" s="111" t="s">
        <v>599</v>
      </c>
      <c r="K85" s="111" t="s">
        <v>600</v>
      </c>
      <c r="L85" s="111" t="s">
        <v>601</v>
      </c>
    </row>
    <row r="86" spans="1:12" ht="140.25" customHeight="1" x14ac:dyDescent="0.45">
      <c r="A86" s="230"/>
      <c r="B86" s="230"/>
      <c r="C86" s="127" t="str">
        <f>HYPERLINK("https://drive.google.com/drive/folders/1prOS0SDwzvT0NYaQ4oNne2DCuYz2zRPa", "Lesson 90")</f>
        <v>Lesson 90</v>
      </c>
      <c r="D86" s="31" t="s">
        <v>602</v>
      </c>
      <c r="E86" s="36" t="s">
        <v>603</v>
      </c>
      <c r="F86" s="38" t="s">
        <v>604</v>
      </c>
      <c r="G86" s="7"/>
      <c r="H86" s="7" t="s">
        <v>605</v>
      </c>
      <c r="I86" s="113" t="s">
        <v>606</v>
      </c>
      <c r="J86" s="111" t="s">
        <v>607</v>
      </c>
      <c r="K86" s="111" t="s">
        <v>608</v>
      </c>
      <c r="L86" s="111"/>
    </row>
    <row r="87" spans="1:12" ht="178.5" customHeight="1" x14ac:dyDescent="0.45">
      <c r="A87" s="230"/>
      <c r="B87" s="230"/>
      <c r="C87" s="127" t="str">
        <f>HYPERLINK("https://drive.google.com/drive/folders/1prDiEzv1ml-gsZBmw9HB5nD0GNvCJpLD", "Lesson 91")</f>
        <v>Lesson 91</v>
      </c>
      <c r="D87" s="31" t="s">
        <v>609</v>
      </c>
      <c r="E87" s="36" t="s">
        <v>610</v>
      </c>
      <c r="F87" s="31" t="s">
        <v>611</v>
      </c>
      <c r="G87" s="7"/>
      <c r="H87" s="7"/>
      <c r="I87" s="113" t="s">
        <v>612</v>
      </c>
      <c r="J87" s="111" t="s">
        <v>613</v>
      </c>
      <c r="K87" s="111" t="s">
        <v>614</v>
      </c>
      <c r="L87" s="111"/>
    </row>
    <row r="88" spans="1:12" ht="63.75" customHeight="1" x14ac:dyDescent="0.45">
      <c r="A88" s="230"/>
      <c r="B88" s="230"/>
      <c r="C88" s="240" t="s">
        <v>615</v>
      </c>
      <c r="D88" s="235"/>
      <c r="E88" s="235"/>
      <c r="F88" s="236"/>
      <c r="G88" s="7"/>
      <c r="H88" s="7"/>
      <c r="I88" s="119" t="s">
        <v>615</v>
      </c>
      <c r="J88" s="111"/>
      <c r="K88" s="111"/>
      <c r="L88" s="111" t="s">
        <v>616</v>
      </c>
    </row>
    <row r="89" spans="1:12" ht="191.25" customHeight="1" x14ac:dyDescent="0.45">
      <c r="A89" s="230"/>
      <c r="B89" s="230"/>
      <c r="C89" s="127" t="str">
        <f>HYPERLINK("https://drive.google.com/drive/folders/1pqweShpwLqsHYAR3hyECBOObVukFUjC5", "Lesson 92")</f>
        <v>Lesson 92</v>
      </c>
      <c r="D89" s="31" t="s">
        <v>617</v>
      </c>
      <c r="E89" s="36" t="s">
        <v>618</v>
      </c>
      <c r="F89" s="31" t="s">
        <v>619</v>
      </c>
      <c r="G89" s="7"/>
      <c r="H89" s="7"/>
      <c r="I89" s="113" t="s">
        <v>620</v>
      </c>
      <c r="J89" s="111" t="s">
        <v>621</v>
      </c>
      <c r="K89" s="111" t="s">
        <v>622</v>
      </c>
      <c r="L89" s="111"/>
    </row>
    <row r="90" spans="1:12" ht="89.25" customHeight="1" x14ac:dyDescent="0.45">
      <c r="A90" s="230"/>
      <c r="B90" s="231"/>
      <c r="C90" s="127" t="str">
        <f>HYPERLINK("https://drive.google.com/drive/folders/1pnzuo5higXWtC96q6quqaCx4WBGplEjX", "Lesson 93")</f>
        <v>Lesson 93</v>
      </c>
      <c r="D90" s="31" t="s">
        <v>623</v>
      </c>
      <c r="E90" s="36" t="s">
        <v>624</v>
      </c>
      <c r="F90" s="31" t="s">
        <v>625</v>
      </c>
      <c r="G90" s="7"/>
      <c r="H90" s="7"/>
      <c r="I90" s="113" t="s">
        <v>626</v>
      </c>
      <c r="J90" s="111" t="s">
        <v>627</v>
      </c>
      <c r="K90" s="111" t="s">
        <v>628</v>
      </c>
      <c r="L90" s="111"/>
    </row>
    <row r="91" spans="1:12" ht="165.75" customHeight="1" x14ac:dyDescent="0.45">
      <c r="A91" s="230"/>
      <c r="B91" s="239" t="s">
        <v>217</v>
      </c>
      <c r="C91" s="112" t="str">
        <f>HYPERLINK("https://drive.google.com/drive/folders/1plWQ7ffCFhURHyRgA1M22ZI1XpfhBn-Q", "Lesson 95")</f>
        <v>Lesson 95</v>
      </c>
      <c r="D91" s="39" t="s">
        <v>629</v>
      </c>
      <c r="E91" s="40" t="s">
        <v>630</v>
      </c>
      <c r="F91" s="41" t="s">
        <v>631</v>
      </c>
      <c r="G91" s="7" t="s">
        <v>632</v>
      </c>
      <c r="H91" s="76" t="s">
        <v>633</v>
      </c>
      <c r="I91" s="113" t="s">
        <v>634</v>
      </c>
      <c r="J91" s="111" t="s">
        <v>635</v>
      </c>
      <c r="K91" s="111" t="s">
        <v>636</v>
      </c>
      <c r="L91" s="117" t="s">
        <v>637</v>
      </c>
    </row>
    <row r="92" spans="1:12" ht="63.75" customHeight="1" x14ac:dyDescent="0.45">
      <c r="A92" s="230"/>
      <c r="B92" s="230"/>
      <c r="C92" s="112" t="str">
        <f>HYPERLINK("https://drive.google.com/drive/folders/1pjx01rN4Ugz_flQhnY4F6VVj3AXrLQG9", "Lesson 96")</f>
        <v>Lesson 96</v>
      </c>
      <c r="D92" s="39" t="s">
        <v>638</v>
      </c>
      <c r="E92" s="42" t="s">
        <v>639</v>
      </c>
      <c r="F92" s="39" t="s">
        <v>640</v>
      </c>
      <c r="G92" s="7"/>
      <c r="H92" s="7" t="s">
        <v>641</v>
      </c>
      <c r="I92" s="113" t="s">
        <v>642</v>
      </c>
      <c r="J92" s="111" t="s">
        <v>643</v>
      </c>
      <c r="K92" s="111" t="s">
        <v>644</v>
      </c>
      <c r="L92" s="111"/>
    </row>
    <row r="93" spans="1:12" ht="178.5" customHeight="1" x14ac:dyDescent="0.45">
      <c r="A93" s="230"/>
      <c r="B93" s="230"/>
      <c r="C93" s="112" t="str">
        <f>HYPERLINK("https://drive.google.com/drive/folders/1pwVj1udlL2XlECA5jb4c4mmXmj6tDbgh", "Lesson 97")</f>
        <v>Lesson 97</v>
      </c>
      <c r="D93" s="39" t="s">
        <v>645</v>
      </c>
      <c r="E93" s="42" t="s">
        <v>646</v>
      </c>
      <c r="F93" s="39" t="s">
        <v>647</v>
      </c>
      <c r="G93" s="7"/>
      <c r="H93" s="7"/>
      <c r="I93" s="113" t="s">
        <v>648</v>
      </c>
      <c r="J93" s="111" t="s">
        <v>649</v>
      </c>
      <c r="K93" s="111" t="s">
        <v>650</v>
      </c>
      <c r="L93" s="111"/>
    </row>
    <row r="94" spans="1:12" ht="191.25" customHeight="1" x14ac:dyDescent="0.45">
      <c r="A94" s="230"/>
      <c r="B94" s="230"/>
      <c r="C94" s="112" t="str">
        <f>HYPERLINK("https://drive.google.com/drive/folders/1pzThR2JVEvucInb4DTARNwOF4IyfM6SM", "Lesson 98")</f>
        <v>Lesson 98</v>
      </c>
      <c r="D94" s="39" t="s">
        <v>651</v>
      </c>
      <c r="E94" s="42" t="s">
        <v>652</v>
      </c>
      <c r="F94" s="43" t="s">
        <v>653</v>
      </c>
      <c r="G94" s="7"/>
      <c r="H94" s="7"/>
      <c r="I94" s="113" t="s">
        <v>654</v>
      </c>
      <c r="J94" s="111" t="s">
        <v>655</v>
      </c>
      <c r="K94" s="111" t="s">
        <v>656</v>
      </c>
      <c r="L94" s="111"/>
    </row>
    <row r="95" spans="1:12" ht="127.5" customHeight="1" x14ac:dyDescent="0.45">
      <c r="A95" s="230"/>
      <c r="B95" s="230"/>
      <c r="C95" s="112" t="str">
        <f>HYPERLINK("https://drive.google.com/drive/folders/1pxG4qi4B2VLPaE26oQABtkJ7AONMuMAz", "Lesson 99")</f>
        <v>Lesson 99</v>
      </c>
      <c r="D95" s="39" t="s">
        <v>657</v>
      </c>
      <c r="E95" s="42" t="s">
        <v>658</v>
      </c>
      <c r="F95" s="39" t="s">
        <v>659</v>
      </c>
      <c r="G95" s="7"/>
      <c r="H95" s="7"/>
      <c r="I95" s="113" t="s">
        <v>660</v>
      </c>
      <c r="J95" s="111" t="s">
        <v>661</v>
      </c>
      <c r="K95" s="111" t="s">
        <v>662</v>
      </c>
      <c r="L95" s="111"/>
    </row>
    <row r="96" spans="1:12" ht="153" customHeight="1" x14ac:dyDescent="0.45">
      <c r="A96" s="230"/>
      <c r="B96" s="230"/>
      <c r="C96" s="112" t="str">
        <f>HYPERLINK("https://drive.google.com/drive/folders/1o-_vH9-5E1S6mOE7_OgyX-ayzVqrcFHj", "Lesson 100")</f>
        <v>Lesson 100</v>
      </c>
      <c r="D96" s="39" t="s">
        <v>663</v>
      </c>
      <c r="E96" s="42" t="s">
        <v>664</v>
      </c>
      <c r="F96" s="39" t="s">
        <v>665</v>
      </c>
      <c r="G96" s="7"/>
      <c r="H96" s="7"/>
      <c r="I96" s="113" t="s">
        <v>666</v>
      </c>
      <c r="J96" s="111" t="s">
        <v>667</v>
      </c>
      <c r="K96" s="111" t="s">
        <v>668</v>
      </c>
      <c r="L96" s="111"/>
    </row>
    <row r="97" spans="1:12" ht="102" customHeight="1" x14ac:dyDescent="0.45">
      <c r="A97" s="230"/>
      <c r="B97" s="230"/>
      <c r="C97" s="112" t="str">
        <f>HYPERLINK("https://drive.google.com/drive/folders/1nz5RoKZ5uQAN272bWRJESC0xCkn4pJt_", "Lesson 103")</f>
        <v>Lesson 103</v>
      </c>
      <c r="D97" s="39" t="s">
        <v>669</v>
      </c>
      <c r="E97" s="39" t="s">
        <v>670</v>
      </c>
      <c r="F97" s="39" t="s">
        <v>671</v>
      </c>
      <c r="G97" s="7"/>
      <c r="H97" s="7"/>
      <c r="I97" s="113" t="s">
        <v>672</v>
      </c>
      <c r="J97" s="111" t="s">
        <v>673</v>
      </c>
      <c r="K97" s="111" t="s">
        <v>674</v>
      </c>
      <c r="L97" s="111"/>
    </row>
    <row r="98" spans="1:12" ht="89.25" customHeight="1" x14ac:dyDescent="0.45">
      <c r="A98" s="230"/>
      <c r="B98" s="230"/>
      <c r="C98" s="112" t="str">
        <f>HYPERLINK("https://drive.google.com/drive/folders/1nyp8Bga1Rf6wRwNi7SSs94pW87aQ0m8d", "Lesson 104")</f>
        <v>Lesson 104</v>
      </c>
      <c r="D98" s="39" t="s">
        <v>675</v>
      </c>
      <c r="E98" s="39" t="s">
        <v>676</v>
      </c>
      <c r="F98" s="43" t="s">
        <v>677</v>
      </c>
      <c r="G98" s="7" t="s">
        <v>678</v>
      </c>
      <c r="H98" s="76" t="s">
        <v>679</v>
      </c>
      <c r="I98" s="113" t="s">
        <v>680</v>
      </c>
      <c r="J98" s="111" t="s">
        <v>681</v>
      </c>
      <c r="K98" s="111" t="s">
        <v>682</v>
      </c>
      <c r="L98" s="117" t="s">
        <v>683</v>
      </c>
    </row>
    <row r="99" spans="1:12" ht="114.75" customHeight="1" x14ac:dyDescent="0.45">
      <c r="A99" s="230"/>
      <c r="B99" s="230"/>
      <c r="C99" s="130" t="str">
        <f>HYPERLINK("https://drive.google.com/drive/folders/1nyn1YyL5JK4--6LRw5SrZRWU4Z6oy_4W", "Lesson 105")</f>
        <v>Lesson 105</v>
      </c>
      <c r="D99" s="131" t="s">
        <v>684</v>
      </c>
      <c r="E99" s="44" t="s">
        <v>685</v>
      </c>
      <c r="F99" s="39" t="s">
        <v>686</v>
      </c>
      <c r="G99" s="7" t="s">
        <v>687</v>
      </c>
      <c r="H99" s="76" t="s">
        <v>679</v>
      </c>
      <c r="I99" s="113" t="s">
        <v>688</v>
      </c>
      <c r="J99" s="111" t="s">
        <v>689</v>
      </c>
      <c r="K99" s="111" t="s">
        <v>690</v>
      </c>
      <c r="L99" s="117" t="s">
        <v>691</v>
      </c>
    </row>
    <row r="100" spans="1:12" ht="153" customHeight="1" x14ac:dyDescent="0.45">
      <c r="A100" s="230"/>
      <c r="B100" s="230"/>
      <c r="C100" s="112" t="str">
        <f>HYPERLINK("https://drive.google.com/drive/folders/1nyjYO0XOJr-OzWUKiXhnuNravX8CjDWy", "Lesson 106")</f>
        <v>Lesson 106</v>
      </c>
      <c r="D100" s="39" t="s">
        <v>692</v>
      </c>
      <c r="E100" s="42" t="s">
        <v>693</v>
      </c>
      <c r="F100" s="39" t="s">
        <v>694</v>
      </c>
      <c r="G100" s="7"/>
      <c r="H100" s="7"/>
      <c r="I100" s="113" t="s">
        <v>695</v>
      </c>
      <c r="J100" s="111" t="s">
        <v>696</v>
      </c>
      <c r="K100" s="111" t="s">
        <v>697</v>
      </c>
      <c r="L100" s="111"/>
    </row>
    <row r="101" spans="1:12" ht="178.5" customHeight="1" x14ac:dyDescent="0.45">
      <c r="A101" s="230"/>
      <c r="B101" s="230"/>
      <c r="C101" s="112" t="str">
        <f>HYPERLINK("https://drive.google.com/drive/folders/1nx1FnIxz8oFAW6UPOH99RPYwy2P3fe8A", "Lesson 107")</f>
        <v>Lesson 107</v>
      </c>
      <c r="D101" s="39" t="s">
        <v>698</v>
      </c>
      <c r="E101" s="42" t="s">
        <v>699</v>
      </c>
      <c r="F101" s="39" t="s">
        <v>700</v>
      </c>
      <c r="G101" s="7"/>
      <c r="H101" s="7"/>
      <c r="I101" s="113" t="s">
        <v>701</v>
      </c>
      <c r="J101" s="111" t="s">
        <v>702</v>
      </c>
      <c r="K101" s="111" t="s">
        <v>703</v>
      </c>
      <c r="L101" s="117"/>
    </row>
    <row r="102" spans="1:12" ht="127.5" customHeight="1" x14ac:dyDescent="0.45">
      <c r="A102" s="230"/>
      <c r="B102" s="230"/>
      <c r="C102" s="112" t="str">
        <f>HYPERLINK("https://drive.google.com/drive/folders/1nvD_fN-F3dFIiQaTAbGI9qBcBbUetCqq", "Lesson 108")</f>
        <v>Lesson 108</v>
      </c>
      <c r="D102" s="39" t="s">
        <v>704</v>
      </c>
      <c r="E102" s="45" t="s">
        <v>705</v>
      </c>
      <c r="F102" s="39" t="s">
        <v>706</v>
      </c>
      <c r="G102" s="7"/>
      <c r="H102" s="7"/>
      <c r="I102" s="113" t="s">
        <v>707</v>
      </c>
      <c r="J102" s="111" t="s">
        <v>708</v>
      </c>
      <c r="K102" s="111" t="s">
        <v>709</v>
      </c>
      <c r="L102" s="117"/>
    </row>
    <row r="103" spans="1:12" ht="140.25" customHeight="1" x14ac:dyDescent="0.45">
      <c r="A103" s="230"/>
      <c r="B103" s="230"/>
      <c r="C103" s="112" t="str">
        <f>HYPERLINK("https://drive.google.com/drive/folders/1nvABACCCo0L70g9IMIzCuq0nsMS2B-bi", "Lesson 109")</f>
        <v>Lesson 109</v>
      </c>
      <c r="D103" s="39" t="s">
        <v>710</v>
      </c>
      <c r="E103" s="42" t="s">
        <v>711</v>
      </c>
      <c r="F103" s="39" t="s">
        <v>712</v>
      </c>
      <c r="G103" s="7"/>
      <c r="H103" s="7"/>
      <c r="I103" s="113" t="s">
        <v>713</v>
      </c>
      <c r="J103" s="111" t="s">
        <v>714</v>
      </c>
      <c r="K103" s="111" t="s">
        <v>715</v>
      </c>
      <c r="L103" s="111"/>
    </row>
    <row r="104" spans="1:12" ht="102" customHeight="1" x14ac:dyDescent="0.45">
      <c r="A104" s="230"/>
      <c r="B104" s="230"/>
      <c r="C104" s="112" t="str">
        <f>HYPERLINK("https://drive.google.com/drive/folders/1ntNjkY7J1ueR1PNTmkBa5-sTEn7Rgi8E", "Lesson 110")</f>
        <v>Lesson 110</v>
      </c>
      <c r="D104" s="39" t="s">
        <v>716</v>
      </c>
      <c r="E104" s="45" t="s">
        <v>717</v>
      </c>
      <c r="F104" s="39" t="s">
        <v>718</v>
      </c>
      <c r="G104" s="7"/>
      <c r="H104" s="7"/>
      <c r="I104" s="113" t="s">
        <v>719</v>
      </c>
      <c r="J104" s="111" t="s">
        <v>720</v>
      </c>
      <c r="K104" s="111" t="s">
        <v>721</v>
      </c>
      <c r="L104" s="117"/>
    </row>
    <row r="105" spans="1:12" ht="102" customHeight="1" x14ac:dyDescent="0.45">
      <c r="A105" s="230"/>
      <c r="B105" s="230"/>
      <c r="C105" s="112" t="str">
        <f>HYPERLINK("https://drive.google.com/drive/folders/1ntEeMmX8xwAmMI1tUx-mcnGQZ55aoC3n", "Lesson 111")</f>
        <v>Lesson 111</v>
      </c>
      <c r="D105" s="39" t="s">
        <v>722</v>
      </c>
      <c r="E105" s="42" t="s">
        <v>723</v>
      </c>
      <c r="F105" s="39" t="s">
        <v>724</v>
      </c>
      <c r="G105" s="7"/>
      <c r="H105" s="7"/>
      <c r="I105" s="113" t="s">
        <v>725</v>
      </c>
      <c r="J105" s="111" t="s">
        <v>726</v>
      </c>
      <c r="K105" s="111" t="s">
        <v>727</v>
      </c>
      <c r="L105" s="111"/>
    </row>
    <row r="106" spans="1:12" ht="165.75" customHeight="1" x14ac:dyDescent="0.45">
      <c r="A106" s="230"/>
      <c r="B106" s="230"/>
      <c r="C106" s="112" t="str">
        <f>HYPERLINK("https://drive.google.com/drive/folders/1oFBNTm3x3qxE4tvks6aidn_o0kgbABiU", "Lesson 112")</f>
        <v>Lesson 112</v>
      </c>
      <c r="D106" s="39" t="s">
        <v>728</v>
      </c>
      <c r="E106" s="42" t="s">
        <v>729</v>
      </c>
      <c r="F106" s="43" t="s">
        <v>730</v>
      </c>
      <c r="G106" s="7" t="s">
        <v>731</v>
      </c>
      <c r="H106" s="76" t="s">
        <v>732</v>
      </c>
      <c r="I106" s="113" t="s">
        <v>733</v>
      </c>
      <c r="J106" s="111" t="s">
        <v>734</v>
      </c>
      <c r="K106" s="111" t="s">
        <v>735</v>
      </c>
      <c r="L106" s="117" t="s">
        <v>736</v>
      </c>
    </row>
    <row r="107" spans="1:12" ht="63.75" customHeight="1" x14ac:dyDescent="0.45">
      <c r="A107" s="231"/>
      <c r="B107" s="231"/>
      <c r="C107" s="243" t="s">
        <v>737</v>
      </c>
      <c r="D107" s="235"/>
      <c r="E107" s="235"/>
      <c r="F107" s="236"/>
      <c r="G107" s="7"/>
      <c r="H107" s="7"/>
      <c r="I107" s="119" t="s">
        <v>737</v>
      </c>
      <c r="J107" s="111"/>
      <c r="K107" s="111"/>
      <c r="L107" s="111" t="s">
        <v>738</v>
      </c>
    </row>
    <row r="108" spans="1:12" ht="14.25" customHeight="1" x14ac:dyDescent="0.45">
      <c r="A108" s="132"/>
      <c r="B108" s="132"/>
      <c r="C108" s="133"/>
      <c r="D108" s="133"/>
      <c r="E108" s="133"/>
      <c r="F108" s="133"/>
      <c r="G108" s="134"/>
      <c r="H108" s="134"/>
      <c r="I108" s="134"/>
      <c r="J108" s="111"/>
      <c r="K108" s="111"/>
      <c r="L108" s="111"/>
    </row>
    <row r="109" spans="1:12" ht="14.25" customHeight="1" x14ac:dyDescent="0.45">
      <c r="A109" s="132"/>
      <c r="B109" s="132"/>
      <c r="C109" s="133"/>
      <c r="D109" s="133"/>
      <c r="E109" s="133"/>
      <c r="F109" s="133"/>
      <c r="G109" s="134"/>
      <c r="H109" s="134"/>
      <c r="I109" s="134"/>
      <c r="J109" s="111"/>
      <c r="K109" s="111"/>
      <c r="L109" s="111"/>
    </row>
    <row r="110" spans="1:12" ht="14.25" customHeight="1" x14ac:dyDescent="0.45">
      <c r="A110" s="132"/>
      <c r="B110" s="132"/>
      <c r="C110" s="133"/>
      <c r="D110" s="133"/>
      <c r="E110" s="133"/>
      <c r="F110" s="133"/>
      <c r="G110" s="134"/>
      <c r="H110" s="134"/>
      <c r="I110" s="134"/>
      <c r="J110" s="111"/>
      <c r="K110" s="111"/>
      <c r="L110" s="111"/>
    </row>
    <row r="111" spans="1:12" ht="14.25" customHeight="1" x14ac:dyDescent="0.45">
      <c r="A111" s="132"/>
      <c r="B111" s="132"/>
      <c r="C111" s="133"/>
      <c r="D111" s="133"/>
      <c r="E111" s="133"/>
      <c r="F111" s="133"/>
      <c r="G111" s="134"/>
      <c r="H111" s="134"/>
      <c r="I111" s="134"/>
      <c r="J111" s="111"/>
      <c r="K111" s="111"/>
      <c r="L111" s="111"/>
    </row>
    <row r="112" spans="1:12" ht="14.25" customHeight="1" x14ac:dyDescent="0.45">
      <c r="A112" s="132"/>
      <c r="B112" s="132"/>
      <c r="C112" s="133"/>
      <c r="D112" s="133"/>
      <c r="E112" s="133"/>
      <c r="F112" s="133"/>
      <c r="G112" s="134"/>
      <c r="H112" s="134"/>
      <c r="I112" s="134"/>
      <c r="J112" s="111"/>
      <c r="K112" s="111"/>
      <c r="L112" s="111"/>
    </row>
    <row r="113" spans="1:9" ht="14.25" customHeight="1" x14ac:dyDescent="0.45">
      <c r="A113" s="132"/>
      <c r="B113" s="132"/>
      <c r="C113" s="133"/>
      <c r="D113" s="133"/>
      <c r="E113" s="133"/>
      <c r="F113" s="133"/>
      <c r="G113" s="134"/>
      <c r="H113" s="134"/>
      <c r="I113" s="134"/>
    </row>
    <row r="114" spans="1:9" ht="14.25" customHeight="1" x14ac:dyDescent="0.45">
      <c r="A114" s="132"/>
      <c r="B114" s="132"/>
      <c r="C114" s="133"/>
      <c r="D114" s="133"/>
      <c r="E114" s="133"/>
      <c r="F114" s="133"/>
      <c r="G114" s="134"/>
      <c r="H114" s="134"/>
      <c r="I114" s="134"/>
    </row>
    <row r="115" spans="1:9" ht="14.25" customHeight="1" x14ac:dyDescent="0.45">
      <c r="A115" s="132"/>
      <c r="B115" s="132"/>
      <c r="C115" s="133"/>
      <c r="D115" s="133"/>
      <c r="E115" s="133"/>
      <c r="F115" s="133"/>
      <c r="G115" s="134"/>
      <c r="H115" s="134"/>
      <c r="I115" s="134"/>
    </row>
    <row r="116" spans="1:9" ht="14.25" customHeight="1" x14ac:dyDescent="0.45">
      <c r="A116" s="132"/>
      <c r="B116" s="132"/>
      <c r="C116" s="133"/>
      <c r="D116" s="133"/>
      <c r="E116" s="133"/>
      <c r="F116" s="133"/>
      <c r="G116" s="134"/>
      <c r="H116" s="134"/>
      <c r="I116" s="134"/>
    </row>
    <row r="117" spans="1:9" ht="14.25" customHeight="1" x14ac:dyDescent="0.45">
      <c r="A117" s="132"/>
      <c r="B117" s="132"/>
      <c r="C117" s="133"/>
      <c r="D117" s="133"/>
      <c r="E117" s="133"/>
      <c r="F117" s="133"/>
      <c r="G117" s="134"/>
      <c r="H117" s="134"/>
      <c r="I117" s="134"/>
    </row>
    <row r="118" spans="1:9" ht="14.25" customHeight="1" x14ac:dyDescent="0.45">
      <c r="A118" s="132"/>
      <c r="B118" s="132"/>
      <c r="C118" s="133"/>
      <c r="D118" s="133"/>
      <c r="E118" s="133"/>
      <c r="F118" s="133"/>
      <c r="G118" s="134"/>
      <c r="H118" s="134"/>
      <c r="I118" s="134"/>
    </row>
    <row r="119" spans="1:9" ht="14.25" customHeight="1" x14ac:dyDescent="0.45">
      <c r="A119" s="132"/>
      <c r="B119" s="132"/>
      <c r="C119" s="133"/>
      <c r="D119" s="133"/>
      <c r="E119" s="133"/>
      <c r="F119" s="133"/>
      <c r="G119" s="134"/>
      <c r="H119" s="134"/>
      <c r="I119" s="134"/>
    </row>
    <row r="120" spans="1:9" ht="14.25" customHeight="1" x14ac:dyDescent="0.45">
      <c r="A120" s="132"/>
      <c r="B120" s="132"/>
      <c r="C120" s="133"/>
      <c r="D120" s="133"/>
      <c r="E120" s="133"/>
      <c r="F120" s="133"/>
      <c r="G120" s="134"/>
      <c r="H120" s="134"/>
      <c r="I120" s="134"/>
    </row>
    <row r="121" spans="1:9" ht="14.25" customHeight="1" x14ac:dyDescent="0.45">
      <c r="A121" s="132"/>
      <c r="B121" s="132"/>
      <c r="C121" s="133"/>
      <c r="D121" s="133"/>
      <c r="E121" s="133"/>
      <c r="F121" s="133"/>
      <c r="G121" s="134"/>
      <c r="H121" s="134"/>
      <c r="I121" s="134"/>
    </row>
    <row r="122" spans="1:9" ht="14.25" customHeight="1" x14ac:dyDescent="0.45">
      <c r="A122" s="132"/>
      <c r="B122" s="132"/>
      <c r="C122" s="133"/>
      <c r="D122" s="133"/>
      <c r="E122" s="133"/>
      <c r="F122" s="133"/>
      <c r="G122" s="134"/>
      <c r="H122" s="134"/>
      <c r="I122" s="134"/>
    </row>
    <row r="123" spans="1:9" ht="14.25" customHeight="1" x14ac:dyDescent="0.45">
      <c r="A123" s="132"/>
      <c r="B123" s="132"/>
      <c r="C123" s="133"/>
      <c r="D123" s="133"/>
      <c r="E123" s="133"/>
      <c r="F123" s="133"/>
      <c r="G123" s="134"/>
      <c r="H123" s="134"/>
      <c r="I123" s="134"/>
    </row>
    <row r="124" spans="1:9" ht="14.25" customHeight="1" x14ac:dyDescent="0.45">
      <c r="A124" s="132"/>
      <c r="B124" s="132"/>
      <c r="C124" s="133"/>
      <c r="D124" s="133"/>
      <c r="E124" s="133"/>
      <c r="F124" s="133"/>
      <c r="G124" s="134"/>
      <c r="H124" s="134"/>
      <c r="I124" s="134"/>
    </row>
    <row r="125" spans="1:9" ht="14.25" customHeight="1" x14ac:dyDescent="0.45">
      <c r="A125" s="132"/>
      <c r="B125" s="132"/>
      <c r="C125" s="133"/>
      <c r="D125" s="133"/>
      <c r="E125" s="133"/>
      <c r="F125" s="133"/>
      <c r="G125" s="134"/>
      <c r="H125" s="134"/>
      <c r="I125" s="134"/>
    </row>
    <row r="126" spans="1:9" ht="14.25" customHeight="1" x14ac:dyDescent="0.45">
      <c r="A126" s="132"/>
      <c r="B126" s="132"/>
      <c r="C126" s="133"/>
      <c r="D126" s="133"/>
      <c r="E126" s="133"/>
      <c r="F126" s="133"/>
      <c r="G126" s="134"/>
      <c r="H126" s="134"/>
      <c r="I126" s="134"/>
    </row>
    <row r="127" spans="1:9" ht="14.25" customHeight="1" x14ac:dyDescent="0.45">
      <c r="A127" s="132"/>
      <c r="B127" s="132"/>
      <c r="C127" s="133"/>
      <c r="D127" s="133"/>
      <c r="E127" s="133"/>
      <c r="F127" s="133"/>
      <c r="G127" s="134"/>
      <c r="H127" s="134"/>
      <c r="I127" s="134"/>
    </row>
    <row r="128" spans="1:9" ht="14.25" customHeight="1" x14ac:dyDescent="0.45">
      <c r="A128" s="132"/>
      <c r="B128" s="132"/>
      <c r="C128" s="133"/>
      <c r="D128" s="133"/>
      <c r="E128" s="133"/>
      <c r="F128" s="133"/>
      <c r="G128" s="134"/>
      <c r="H128" s="134"/>
      <c r="I128" s="134"/>
    </row>
    <row r="129" spans="1:9" ht="14.25" customHeight="1" x14ac:dyDescent="0.45">
      <c r="A129" s="132"/>
      <c r="B129" s="132"/>
      <c r="C129" s="133"/>
      <c r="D129" s="133"/>
      <c r="E129" s="133"/>
      <c r="F129" s="133"/>
      <c r="G129" s="134"/>
      <c r="H129" s="134"/>
      <c r="I129" s="134"/>
    </row>
    <row r="130" spans="1:9" ht="14.25" customHeight="1" x14ac:dyDescent="0.45">
      <c r="A130" s="132"/>
      <c r="B130" s="132"/>
      <c r="C130" s="133"/>
      <c r="D130" s="133"/>
      <c r="E130" s="133"/>
      <c r="F130" s="133"/>
      <c r="G130" s="134"/>
      <c r="H130" s="134"/>
      <c r="I130" s="134"/>
    </row>
    <row r="131" spans="1:9" ht="14.25" customHeight="1" x14ac:dyDescent="0.45">
      <c r="A131" s="132"/>
      <c r="B131" s="132"/>
      <c r="C131" s="133"/>
      <c r="D131" s="133"/>
      <c r="E131" s="133"/>
      <c r="F131" s="133"/>
      <c r="G131" s="134"/>
      <c r="H131" s="134"/>
      <c r="I131" s="134"/>
    </row>
    <row r="132" spans="1:9" ht="14.25" customHeight="1" x14ac:dyDescent="0.45">
      <c r="A132" s="132"/>
      <c r="B132" s="132"/>
      <c r="C132" s="133"/>
      <c r="D132" s="133"/>
      <c r="E132" s="133"/>
      <c r="F132" s="133"/>
      <c r="G132" s="134"/>
      <c r="H132" s="134"/>
      <c r="I132" s="134"/>
    </row>
    <row r="133" spans="1:9" ht="14.25" customHeight="1" x14ac:dyDescent="0.45">
      <c r="A133" s="132"/>
      <c r="B133" s="132"/>
      <c r="C133" s="133"/>
      <c r="D133" s="133"/>
      <c r="E133" s="133"/>
      <c r="F133" s="133"/>
      <c r="G133" s="134"/>
      <c r="H133" s="134"/>
      <c r="I133" s="134"/>
    </row>
    <row r="134" spans="1:9" ht="14.25" customHeight="1" x14ac:dyDescent="0.45">
      <c r="A134" s="132"/>
      <c r="B134" s="132"/>
      <c r="C134" s="133"/>
      <c r="D134" s="133"/>
      <c r="E134" s="133"/>
      <c r="F134" s="133"/>
      <c r="G134" s="134"/>
      <c r="H134" s="134"/>
      <c r="I134" s="134"/>
    </row>
    <row r="135" spans="1:9" ht="14.25" customHeight="1" x14ac:dyDescent="0.45">
      <c r="A135" s="132"/>
      <c r="B135" s="132"/>
      <c r="C135" s="133"/>
      <c r="D135" s="133"/>
      <c r="E135" s="133"/>
      <c r="F135" s="133"/>
      <c r="G135" s="134"/>
      <c r="H135" s="134"/>
      <c r="I135" s="134"/>
    </row>
    <row r="136" spans="1:9" ht="14.25" customHeight="1" x14ac:dyDescent="0.45">
      <c r="A136" s="132"/>
      <c r="B136" s="132"/>
      <c r="C136" s="133"/>
      <c r="D136" s="133"/>
      <c r="E136" s="133"/>
      <c r="F136" s="133"/>
      <c r="G136" s="134"/>
      <c r="H136" s="134"/>
      <c r="I136" s="134"/>
    </row>
    <row r="137" spans="1:9" ht="14.25" customHeight="1" x14ac:dyDescent="0.45">
      <c r="A137" s="132"/>
      <c r="B137" s="132"/>
      <c r="C137" s="133"/>
      <c r="D137" s="133"/>
      <c r="E137" s="133"/>
      <c r="F137" s="133"/>
      <c r="G137" s="134"/>
      <c r="H137" s="134"/>
      <c r="I137" s="134"/>
    </row>
    <row r="138" spans="1:9" ht="14.25" customHeight="1" x14ac:dyDescent="0.45">
      <c r="A138" s="132"/>
      <c r="B138" s="132"/>
      <c r="C138" s="133"/>
      <c r="D138" s="133"/>
      <c r="E138" s="133"/>
      <c r="F138" s="133"/>
      <c r="G138" s="134"/>
      <c r="H138" s="134"/>
      <c r="I138" s="134"/>
    </row>
    <row r="139" spans="1:9" ht="14.25" customHeight="1" x14ac:dyDescent="0.45">
      <c r="A139" s="132"/>
      <c r="B139" s="132"/>
      <c r="C139" s="133"/>
      <c r="D139" s="133"/>
      <c r="E139" s="133"/>
      <c r="F139" s="133"/>
      <c r="G139" s="134"/>
      <c r="H139" s="134"/>
      <c r="I139" s="134"/>
    </row>
    <row r="140" spans="1:9" ht="14.25" customHeight="1" x14ac:dyDescent="0.45">
      <c r="A140" s="132"/>
      <c r="B140" s="132"/>
      <c r="C140" s="133"/>
      <c r="D140" s="133"/>
      <c r="E140" s="133"/>
      <c r="F140" s="133"/>
      <c r="G140" s="134"/>
      <c r="H140" s="134"/>
      <c r="I140" s="134"/>
    </row>
    <row r="141" spans="1:9" ht="14.25" customHeight="1" x14ac:dyDescent="0.45">
      <c r="A141" s="132"/>
      <c r="B141" s="132"/>
      <c r="C141" s="133"/>
      <c r="D141" s="133"/>
      <c r="E141" s="133"/>
      <c r="F141" s="133"/>
      <c r="G141" s="134"/>
      <c r="H141" s="134"/>
      <c r="I141" s="134"/>
    </row>
    <row r="142" spans="1:9" ht="14.25" customHeight="1" x14ac:dyDescent="0.45">
      <c r="A142" s="132"/>
      <c r="B142" s="132"/>
      <c r="C142" s="133"/>
      <c r="D142" s="133"/>
      <c r="E142" s="133"/>
      <c r="F142" s="133"/>
      <c r="G142" s="134"/>
      <c r="H142" s="134"/>
      <c r="I142" s="134"/>
    </row>
    <row r="143" spans="1:9" ht="14.25" customHeight="1" x14ac:dyDescent="0.45">
      <c r="A143" s="132"/>
      <c r="B143" s="132"/>
      <c r="C143" s="133"/>
      <c r="D143" s="133"/>
      <c r="E143" s="133"/>
      <c r="F143" s="133"/>
      <c r="G143" s="134"/>
      <c r="H143" s="134"/>
      <c r="I143" s="134"/>
    </row>
    <row r="144" spans="1:9" ht="14.25" customHeight="1" x14ac:dyDescent="0.45">
      <c r="A144" s="132"/>
      <c r="B144" s="132"/>
      <c r="C144" s="133"/>
      <c r="D144" s="133"/>
      <c r="E144" s="133"/>
      <c r="F144" s="133"/>
      <c r="G144" s="134"/>
      <c r="H144" s="134"/>
      <c r="I144" s="134"/>
    </row>
    <row r="145" spans="1:9" ht="14.25" customHeight="1" x14ac:dyDescent="0.45">
      <c r="A145" s="132"/>
      <c r="B145" s="132"/>
      <c r="C145" s="133"/>
      <c r="D145" s="133"/>
      <c r="E145" s="133"/>
      <c r="F145" s="133"/>
      <c r="G145" s="134"/>
      <c r="H145" s="134"/>
      <c r="I145" s="134"/>
    </row>
    <row r="146" spans="1:9" ht="14.25" customHeight="1" x14ac:dyDescent="0.45">
      <c r="A146" s="132"/>
      <c r="B146" s="132"/>
      <c r="C146" s="133"/>
      <c r="D146" s="133"/>
      <c r="E146" s="133"/>
      <c r="F146" s="133"/>
      <c r="G146" s="134"/>
      <c r="H146" s="134"/>
      <c r="I146" s="134"/>
    </row>
    <row r="147" spans="1:9" ht="14.25" customHeight="1" x14ac:dyDescent="0.45">
      <c r="A147" s="132"/>
      <c r="B147" s="132"/>
      <c r="C147" s="133"/>
      <c r="D147" s="133"/>
      <c r="E147" s="133"/>
      <c r="F147" s="133"/>
      <c r="G147" s="134"/>
      <c r="H147" s="134"/>
      <c r="I147" s="134"/>
    </row>
    <row r="148" spans="1:9" ht="14.25" customHeight="1" x14ac:dyDescent="0.45">
      <c r="A148" s="132"/>
      <c r="B148" s="132"/>
      <c r="C148" s="133"/>
      <c r="D148" s="133"/>
      <c r="E148" s="133"/>
      <c r="F148" s="133"/>
      <c r="G148" s="134"/>
      <c r="H148" s="134"/>
      <c r="I148" s="134"/>
    </row>
    <row r="149" spans="1:9" ht="14.25" customHeight="1" x14ac:dyDescent="0.45">
      <c r="A149" s="132"/>
      <c r="B149" s="132"/>
      <c r="C149" s="133"/>
      <c r="D149" s="133"/>
      <c r="E149" s="133"/>
      <c r="F149" s="133"/>
      <c r="G149" s="134"/>
      <c r="H149" s="134"/>
      <c r="I149" s="134"/>
    </row>
    <row r="150" spans="1:9" ht="14.25" customHeight="1" x14ac:dyDescent="0.45">
      <c r="A150" s="132"/>
      <c r="B150" s="132"/>
      <c r="C150" s="133"/>
      <c r="D150" s="133"/>
      <c r="E150" s="133"/>
      <c r="F150" s="133"/>
      <c r="G150" s="134"/>
      <c r="H150" s="134"/>
      <c r="I150" s="134"/>
    </row>
    <row r="151" spans="1:9" ht="14.25" customHeight="1" x14ac:dyDescent="0.45">
      <c r="A151" s="132"/>
      <c r="B151" s="132"/>
      <c r="C151" s="133"/>
      <c r="D151" s="133"/>
      <c r="E151" s="133"/>
      <c r="F151" s="133"/>
      <c r="G151" s="134"/>
      <c r="H151" s="134"/>
      <c r="I151" s="134"/>
    </row>
    <row r="152" spans="1:9" ht="14.25" customHeight="1" x14ac:dyDescent="0.45">
      <c r="A152" s="132"/>
      <c r="B152" s="132"/>
      <c r="C152" s="133"/>
      <c r="D152" s="133"/>
      <c r="E152" s="133"/>
      <c r="F152" s="133"/>
      <c r="G152" s="134"/>
      <c r="H152" s="134"/>
      <c r="I152" s="134"/>
    </row>
    <row r="153" spans="1:9" ht="14.25" customHeight="1" x14ac:dyDescent="0.45">
      <c r="A153" s="132"/>
      <c r="B153" s="132"/>
      <c r="C153" s="133"/>
      <c r="D153" s="133"/>
      <c r="E153" s="133"/>
      <c r="F153" s="133"/>
      <c r="G153" s="134"/>
      <c r="H153" s="134"/>
      <c r="I153" s="134"/>
    </row>
    <row r="154" spans="1:9" ht="14.25" customHeight="1" x14ac:dyDescent="0.45">
      <c r="A154" s="132"/>
      <c r="B154" s="132"/>
      <c r="C154" s="133"/>
      <c r="D154" s="133"/>
      <c r="E154" s="133"/>
      <c r="F154" s="133"/>
      <c r="G154" s="134"/>
      <c r="H154" s="134"/>
      <c r="I154" s="134"/>
    </row>
    <row r="155" spans="1:9" ht="14.25" customHeight="1" x14ac:dyDescent="0.45">
      <c r="A155" s="132"/>
      <c r="B155" s="132"/>
      <c r="C155" s="133"/>
      <c r="D155" s="133"/>
      <c r="E155" s="133"/>
      <c r="F155" s="133"/>
      <c r="G155" s="134"/>
      <c r="H155" s="134"/>
      <c r="I155" s="134"/>
    </row>
    <row r="156" spans="1:9" ht="14.25" customHeight="1" x14ac:dyDescent="0.45">
      <c r="A156" s="132"/>
      <c r="B156" s="132"/>
      <c r="C156" s="133"/>
      <c r="D156" s="133"/>
      <c r="E156" s="133"/>
      <c r="F156" s="133"/>
      <c r="G156" s="134"/>
      <c r="H156" s="134"/>
      <c r="I156" s="134"/>
    </row>
    <row r="157" spans="1:9" ht="14.25" customHeight="1" x14ac:dyDescent="0.45">
      <c r="A157" s="132"/>
      <c r="B157" s="132"/>
      <c r="C157" s="133"/>
      <c r="D157" s="133"/>
      <c r="E157" s="133"/>
      <c r="F157" s="133"/>
      <c r="G157" s="134"/>
      <c r="H157" s="134"/>
      <c r="I157" s="134"/>
    </row>
    <row r="158" spans="1:9" ht="14.25" customHeight="1" x14ac:dyDescent="0.45">
      <c r="A158" s="132"/>
      <c r="B158" s="132"/>
      <c r="C158" s="133"/>
      <c r="D158" s="133"/>
      <c r="E158" s="133"/>
      <c r="F158" s="133"/>
      <c r="G158" s="134"/>
      <c r="H158" s="134"/>
      <c r="I158" s="134"/>
    </row>
    <row r="159" spans="1:9" ht="14.25" customHeight="1" x14ac:dyDescent="0.45">
      <c r="A159" s="132"/>
      <c r="B159" s="132"/>
      <c r="C159" s="133"/>
      <c r="D159" s="133"/>
      <c r="E159" s="133"/>
      <c r="F159" s="133"/>
      <c r="G159" s="134"/>
      <c r="H159" s="134"/>
      <c r="I159" s="134"/>
    </row>
    <row r="160" spans="1:9" ht="14.25" customHeight="1" x14ac:dyDescent="0.45">
      <c r="A160" s="132"/>
      <c r="B160" s="132"/>
      <c r="C160" s="133"/>
      <c r="D160" s="133"/>
      <c r="E160" s="133"/>
      <c r="F160" s="133"/>
      <c r="G160" s="134"/>
      <c r="H160" s="134"/>
      <c r="I160" s="134"/>
    </row>
    <row r="161" spans="1:9" ht="14.25" customHeight="1" x14ac:dyDescent="0.45">
      <c r="A161" s="132"/>
      <c r="B161" s="132"/>
      <c r="C161" s="133"/>
      <c r="D161" s="133"/>
      <c r="E161" s="133"/>
      <c r="F161" s="133"/>
      <c r="G161" s="134"/>
      <c r="H161" s="134"/>
      <c r="I161" s="134"/>
    </row>
    <row r="162" spans="1:9" ht="14.25" customHeight="1" x14ac:dyDescent="0.45">
      <c r="A162" s="132"/>
      <c r="B162" s="132"/>
      <c r="C162" s="133"/>
      <c r="D162" s="133"/>
      <c r="E162" s="133"/>
      <c r="F162" s="133"/>
      <c r="G162" s="134"/>
      <c r="H162" s="134"/>
      <c r="I162" s="134"/>
    </row>
    <row r="163" spans="1:9" ht="14.25" customHeight="1" x14ac:dyDescent="0.45">
      <c r="A163" s="132"/>
      <c r="B163" s="132"/>
      <c r="C163" s="133"/>
      <c r="D163" s="133"/>
      <c r="E163" s="133"/>
      <c r="F163" s="133"/>
      <c r="G163" s="134"/>
      <c r="H163" s="134"/>
      <c r="I163" s="134"/>
    </row>
    <row r="164" spans="1:9" ht="14.25" customHeight="1" x14ac:dyDescent="0.45">
      <c r="A164" s="132"/>
      <c r="B164" s="132"/>
      <c r="C164" s="133"/>
      <c r="D164" s="133"/>
      <c r="E164" s="133"/>
      <c r="F164" s="133"/>
      <c r="G164" s="134"/>
      <c r="H164" s="134"/>
      <c r="I164" s="134"/>
    </row>
    <row r="165" spans="1:9" ht="14.25" customHeight="1" x14ac:dyDescent="0.45">
      <c r="A165" s="132"/>
      <c r="B165" s="132"/>
      <c r="C165" s="133"/>
      <c r="D165" s="133"/>
      <c r="E165" s="133"/>
      <c r="F165" s="133"/>
      <c r="G165" s="134"/>
      <c r="H165" s="134"/>
      <c r="I165" s="134"/>
    </row>
    <row r="166" spans="1:9" ht="14.25" customHeight="1" x14ac:dyDescent="0.45">
      <c r="A166" s="132"/>
      <c r="B166" s="132"/>
      <c r="C166" s="133"/>
      <c r="D166" s="133"/>
      <c r="E166" s="133"/>
      <c r="F166" s="133"/>
      <c r="G166" s="134"/>
      <c r="H166" s="134"/>
      <c r="I166" s="134"/>
    </row>
    <row r="167" spans="1:9" ht="14.25" customHeight="1" x14ac:dyDescent="0.45">
      <c r="A167" s="132"/>
      <c r="B167" s="132"/>
      <c r="C167" s="133"/>
      <c r="D167" s="133"/>
      <c r="E167" s="133"/>
      <c r="F167" s="133"/>
      <c r="G167" s="134"/>
      <c r="H167" s="134"/>
      <c r="I167" s="134"/>
    </row>
    <row r="168" spans="1:9" ht="14.25" customHeight="1" x14ac:dyDescent="0.45">
      <c r="A168" s="132"/>
      <c r="B168" s="132"/>
      <c r="C168" s="133"/>
      <c r="D168" s="133"/>
      <c r="E168" s="133"/>
      <c r="F168" s="133"/>
      <c r="G168" s="134"/>
      <c r="H168" s="134"/>
      <c r="I168" s="134"/>
    </row>
    <row r="169" spans="1:9" ht="14.25" customHeight="1" x14ac:dyDescent="0.45">
      <c r="A169" s="132"/>
      <c r="B169" s="132"/>
      <c r="C169" s="133"/>
      <c r="D169" s="133"/>
      <c r="E169" s="133"/>
      <c r="F169" s="133"/>
      <c r="G169" s="134"/>
      <c r="H169" s="134"/>
      <c r="I169" s="134"/>
    </row>
    <row r="170" spans="1:9" ht="14.25" customHeight="1" x14ac:dyDescent="0.45">
      <c r="A170" s="132"/>
      <c r="B170" s="132"/>
      <c r="C170" s="133"/>
      <c r="D170" s="133"/>
      <c r="E170" s="133"/>
      <c r="F170" s="133"/>
      <c r="G170" s="134"/>
      <c r="H170" s="134"/>
      <c r="I170" s="134"/>
    </row>
    <row r="171" spans="1:9" ht="14.25" customHeight="1" x14ac:dyDescent="0.45">
      <c r="A171" s="132"/>
      <c r="B171" s="132"/>
      <c r="C171" s="133"/>
      <c r="D171" s="133"/>
      <c r="E171" s="133"/>
      <c r="F171" s="133"/>
      <c r="G171" s="134"/>
      <c r="H171" s="134"/>
      <c r="I171" s="134"/>
    </row>
    <row r="172" spans="1:9" ht="14.25" customHeight="1" x14ac:dyDescent="0.45">
      <c r="A172" s="132"/>
      <c r="B172" s="132"/>
      <c r="C172" s="133"/>
      <c r="D172" s="133"/>
      <c r="E172" s="133"/>
      <c r="F172" s="133"/>
      <c r="G172" s="134"/>
      <c r="H172" s="134"/>
      <c r="I172" s="134"/>
    </row>
    <row r="173" spans="1:9" ht="14.25" customHeight="1" x14ac:dyDescent="0.45">
      <c r="A173" s="132"/>
      <c r="B173" s="132"/>
      <c r="C173" s="133"/>
      <c r="D173" s="133"/>
      <c r="E173" s="133"/>
      <c r="F173" s="133"/>
      <c r="G173" s="134"/>
      <c r="H173" s="134"/>
      <c r="I173" s="134"/>
    </row>
    <row r="174" spans="1:9" ht="14.25" customHeight="1" x14ac:dyDescent="0.45">
      <c r="A174" s="132"/>
      <c r="B174" s="132"/>
      <c r="C174" s="133"/>
      <c r="D174" s="133"/>
      <c r="E174" s="133"/>
      <c r="F174" s="133"/>
      <c r="G174" s="134"/>
      <c r="H174" s="134"/>
      <c r="I174" s="134"/>
    </row>
    <row r="175" spans="1:9" ht="14.25" customHeight="1" x14ac:dyDescent="0.45">
      <c r="A175" s="132"/>
      <c r="B175" s="132"/>
      <c r="C175" s="133"/>
      <c r="D175" s="133"/>
      <c r="E175" s="133"/>
      <c r="F175" s="133"/>
      <c r="G175" s="134"/>
      <c r="H175" s="134"/>
      <c r="I175" s="134"/>
    </row>
    <row r="176" spans="1:9" ht="14.25" customHeight="1" x14ac:dyDescent="0.45">
      <c r="A176" s="132"/>
      <c r="B176" s="132"/>
      <c r="C176" s="133"/>
      <c r="D176" s="133"/>
      <c r="E176" s="133"/>
      <c r="F176" s="133"/>
      <c r="G176" s="134"/>
      <c r="H176" s="134"/>
      <c r="I176" s="134"/>
    </row>
    <row r="177" spans="1:9" ht="14.25" customHeight="1" x14ac:dyDescent="0.45">
      <c r="A177" s="132"/>
      <c r="B177" s="132"/>
      <c r="C177" s="133"/>
      <c r="D177" s="133"/>
      <c r="E177" s="133"/>
      <c r="F177" s="133"/>
      <c r="G177" s="134"/>
      <c r="H177" s="134"/>
      <c r="I177" s="134"/>
    </row>
    <row r="178" spans="1:9" ht="14.25" customHeight="1" x14ac:dyDescent="0.45">
      <c r="A178" s="132"/>
      <c r="B178" s="132"/>
      <c r="C178" s="133"/>
      <c r="D178" s="133"/>
      <c r="E178" s="133"/>
      <c r="F178" s="133"/>
      <c r="G178" s="134"/>
      <c r="H178" s="134"/>
      <c r="I178" s="134"/>
    </row>
    <row r="179" spans="1:9" ht="14.25" customHeight="1" x14ac:dyDescent="0.45">
      <c r="A179" s="132"/>
      <c r="B179" s="132"/>
      <c r="C179" s="133"/>
      <c r="D179" s="133"/>
      <c r="E179" s="133"/>
      <c r="F179" s="133"/>
      <c r="G179" s="134"/>
      <c r="H179" s="134"/>
      <c r="I179" s="134"/>
    </row>
    <row r="180" spans="1:9" ht="14.25" customHeight="1" x14ac:dyDescent="0.45">
      <c r="A180" s="132"/>
      <c r="B180" s="132"/>
      <c r="C180" s="133"/>
      <c r="D180" s="133"/>
      <c r="E180" s="133"/>
      <c r="F180" s="133"/>
      <c r="G180" s="134"/>
      <c r="H180" s="134"/>
      <c r="I180" s="134"/>
    </row>
    <row r="181" spans="1:9" ht="14.25" customHeight="1" x14ac:dyDescent="0.45">
      <c r="A181" s="132"/>
      <c r="B181" s="132"/>
      <c r="C181" s="133"/>
      <c r="D181" s="133"/>
      <c r="E181" s="133"/>
      <c r="F181" s="133"/>
      <c r="G181" s="134"/>
      <c r="H181" s="134"/>
      <c r="I181" s="134"/>
    </row>
    <row r="182" spans="1:9" ht="14.25" customHeight="1" x14ac:dyDescent="0.45">
      <c r="A182" s="132"/>
      <c r="B182" s="132"/>
      <c r="C182" s="133"/>
      <c r="D182" s="133"/>
      <c r="E182" s="133"/>
      <c r="F182" s="133"/>
      <c r="G182" s="134"/>
      <c r="H182" s="134"/>
      <c r="I182" s="134"/>
    </row>
    <row r="183" spans="1:9" ht="14.25" customHeight="1" x14ac:dyDescent="0.45">
      <c r="A183" s="132"/>
      <c r="B183" s="132"/>
      <c r="C183" s="133"/>
      <c r="D183" s="133"/>
      <c r="E183" s="133"/>
      <c r="F183" s="133"/>
      <c r="G183" s="134"/>
      <c r="H183" s="134"/>
      <c r="I183" s="134"/>
    </row>
    <row r="184" spans="1:9" ht="14.25" customHeight="1" x14ac:dyDescent="0.45">
      <c r="A184" s="132"/>
      <c r="B184" s="132"/>
      <c r="C184" s="133"/>
      <c r="D184" s="133"/>
      <c r="E184" s="133"/>
      <c r="F184" s="133"/>
      <c r="G184" s="134"/>
      <c r="H184" s="134"/>
      <c r="I184" s="134"/>
    </row>
    <row r="185" spans="1:9" ht="14.25" customHeight="1" x14ac:dyDescent="0.45">
      <c r="A185" s="132"/>
      <c r="B185" s="132"/>
      <c r="C185" s="133"/>
      <c r="D185" s="133"/>
      <c r="E185" s="133"/>
      <c r="F185" s="133"/>
      <c r="G185" s="134"/>
      <c r="H185" s="134"/>
      <c r="I185" s="134"/>
    </row>
    <row r="186" spans="1:9" ht="14.25" customHeight="1" x14ac:dyDescent="0.45">
      <c r="A186" s="132"/>
      <c r="B186" s="132"/>
      <c r="C186" s="133"/>
      <c r="D186" s="133"/>
      <c r="E186" s="133"/>
      <c r="F186" s="133"/>
      <c r="G186" s="134"/>
      <c r="H186" s="134"/>
      <c r="I186" s="134"/>
    </row>
    <row r="187" spans="1:9" ht="14.25" customHeight="1" x14ac:dyDescent="0.45">
      <c r="A187" s="132"/>
      <c r="B187" s="132"/>
      <c r="C187" s="133"/>
      <c r="D187" s="133"/>
      <c r="E187" s="133"/>
      <c r="F187" s="133"/>
      <c r="G187" s="134"/>
      <c r="H187" s="134"/>
      <c r="I187" s="134"/>
    </row>
    <row r="188" spans="1:9" ht="14.25" customHeight="1" x14ac:dyDescent="0.45">
      <c r="A188" s="132"/>
      <c r="B188" s="132"/>
      <c r="C188" s="133"/>
      <c r="D188" s="133"/>
      <c r="E188" s="133"/>
      <c r="F188" s="133"/>
      <c r="G188" s="134"/>
      <c r="H188" s="134"/>
      <c r="I188" s="134"/>
    </row>
    <row r="189" spans="1:9" ht="14.25" customHeight="1" x14ac:dyDescent="0.45">
      <c r="A189" s="132"/>
      <c r="B189" s="132"/>
      <c r="C189" s="133"/>
      <c r="D189" s="133"/>
      <c r="E189" s="133"/>
      <c r="F189" s="133"/>
      <c r="G189" s="134"/>
      <c r="H189" s="134"/>
      <c r="I189" s="134"/>
    </row>
    <row r="190" spans="1:9" ht="14.25" customHeight="1" x14ac:dyDescent="0.45">
      <c r="A190" s="132"/>
      <c r="B190" s="132"/>
      <c r="C190" s="133"/>
      <c r="D190" s="133"/>
      <c r="E190" s="133"/>
      <c r="F190" s="133"/>
      <c r="G190" s="134"/>
      <c r="H190" s="134"/>
      <c r="I190" s="134"/>
    </row>
    <row r="191" spans="1:9" ht="14.25" customHeight="1" x14ac:dyDescent="0.45">
      <c r="A191" s="132"/>
      <c r="B191" s="132"/>
      <c r="C191" s="133"/>
      <c r="D191" s="133"/>
      <c r="E191" s="133"/>
      <c r="F191" s="133"/>
      <c r="G191" s="134"/>
      <c r="H191" s="134"/>
      <c r="I191" s="134"/>
    </row>
    <row r="192" spans="1:9" ht="14.25" customHeight="1" x14ac:dyDescent="0.45">
      <c r="A192" s="132"/>
      <c r="B192" s="132"/>
      <c r="C192" s="133"/>
      <c r="D192" s="133"/>
      <c r="E192" s="133"/>
      <c r="F192" s="133"/>
      <c r="G192" s="134"/>
      <c r="H192" s="134"/>
      <c r="I192" s="134"/>
    </row>
    <row r="193" spans="1:9" ht="14.25" customHeight="1" x14ac:dyDescent="0.45">
      <c r="A193" s="132"/>
      <c r="B193" s="132"/>
      <c r="C193" s="133"/>
      <c r="D193" s="133"/>
      <c r="E193" s="133"/>
      <c r="F193" s="133"/>
      <c r="G193" s="134"/>
      <c r="H193" s="134"/>
      <c r="I193" s="134"/>
    </row>
    <row r="194" spans="1:9" ht="14.25" customHeight="1" x14ac:dyDescent="0.45">
      <c r="A194" s="132"/>
      <c r="B194" s="132"/>
      <c r="C194" s="133"/>
      <c r="D194" s="133"/>
      <c r="E194" s="133"/>
      <c r="F194" s="133"/>
      <c r="G194" s="134"/>
      <c r="H194" s="134"/>
      <c r="I194" s="134"/>
    </row>
    <row r="195" spans="1:9" ht="14.25" customHeight="1" x14ac:dyDescent="0.45">
      <c r="A195" s="132"/>
      <c r="B195" s="132"/>
      <c r="C195" s="133"/>
      <c r="D195" s="133"/>
      <c r="E195" s="133"/>
      <c r="F195" s="133"/>
      <c r="G195" s="134"/>
      <c r="H195" s="134"/>
      <c r="I195" s="134"/>
    </row>
    <row r="196" spans="1:9" ht="14.25" customHeight="1" x14ac:dyDescent="0.45">
      <c r="A196" s="132"/>
      <c r="B196" s="132"/>
      <c r="C196" s="133"/>
      <c r="D196" s="133"/>
      <c r="E196" s="133"/>
      <c r="F196" s="133"/>
      <c r="G196" s="134"/>
      <c r="H196" s="134"/>
      <c r="I196" s="134"/>
    </row>
    <row r="197" spans="1:9" ht="14.25" customHeight="1" x14ac:dyDescent="0.45">
      <c r="A197" s="132"/>
      <c r="B197" s="132"/>
      <c r="C197" s="133"/>
      <c r="D197" s="133"/>
      <c r="E197" s="133"/>
      <c r="F197" s="133"/>
      <c r="G197" s="134"/>
      <c r="H197" s="134"/>
      <c r="I197" s="134"/>
    </row>
    <row r="198" spans="1:9" ht="14.25" customHeight="1" x14ac:dyDescent="0.45">
      <c r="A198" s="132"/>
      <c r="B198" s="132"/>
      <c r="C198" s="133"/>
      <c r="D198" s="133"/>
      <c r="E198" s="133"/>
      <c r="F198" s="133"/>
      <c r="G198" s="134"/>
      <c r="H198" s="134"/>
      <c r="I198" s="134"/>
    </row>
    <row r="199" spans="1:9" ht="14.25" customHeight="1" x14ac:dyDescent="0.45">
      <c r="A199" s="132"/>
      <c r="B199" s="132"/>
      <c r="C199" s="133"/>
      <c r="D199" s="133"/>
      <c r="E199" s="133"/>
      <c r="F199" s="133"/>
      <c r="G199" s="134"/>
      <c r="H199" s="134"/>
      <c r="I199" s="134"/>
    </row>
    <row r="200" spans="1:9" ht="14.25" customHeight="1" x14ac:dyDescent="0.45">
      <c r="A200" s="132"/>
      <c r="B200" s="132"/>
      <c r="C200" s="133"/>
      <c r="D200" s="133"/>
      <c r="E200" s="133"/>
      <c r="F200" s="133"/>
      <c r="G200" s="134"/>
      <c r="H200" s="134"/>
      <c r="I200" s="134"/>
    </row>
    <row r="201" spans="1:9" ht="14.25" customHeight="1" x14ac:dyDescent="0.45">
      <c r="A201" s="132"/>
      <c r="B201" s="132"/>
      <c r="C201" s="133"/>
      <c r="D201" s="133"/>
      <c r="E201" s="133"/>
      <c r="F201" s="133"/>
      <c r="G201" s="134"/>
      <c r="H201" s="134"/>
      <c r="I201" s="134"/>
    </row>
    <row r="202" spans="1:9" ht="14.25" customHeight="1" x14ac:dyDescent="0.45">
      <c r="A202" s="132"/>
      <c r="B202" s="132"/>
      <c r="C202" s="133"/>
      <c r="D202" s="133"/>
      <c r="E202" s="133"/>
      <c r="F202" s="133"/>
      <c r="G202" s="134"/>
      <c r="H202" s="134"/>
      <c r="I202" s="134"/>
    </row>
    <row r="203" spans="1:9" ht="14.25" customHeight="1" x14ac:dyDescent="0.45">
      <c r="A203" s="132"/>
      <c r="B203" s="132"/>
      <c r="C203" s="133"/>
      <c r="D203" s="133"/>
      <c r="E203" s="133"/>
      <c r="F203" s="133"/>
      <c r="G203" s="134"/>
      <c r="H203" s="134"/>
      <c r="I203" s="134"/>
    </row>
    <row r="204" spans="1:9" ht="14.25" customHeight="1" x14ac:dyDescent="0.45">
      <c r="A204" s="132"/>
      <c r="B204" s="132"/>
      <c r="C204" s="133"/>
      <c r="D204" s="133"/>
      <c r="E204" s="133"/>
      <c r="F204" s="133"/>
      <c r="G204" s="134"/>
      <c r="H204" s="134"/>
      <c r="I204" s="134"/>
    </row>
    <row r="205" spans="1:9" ht="14.25" customHeight="1" x14ac:dyDescent="0.45">
      <c r="A205" s="132"/>
      <c r="B205" s="132"/>
      <c r="C205" s="133"/>
      <c r="D205" s="133"/>
      <c r="E205" s="133"/>
      <c r="F205" s="133"/>
      <c r="G205" s="134"/>
      <c r="H205" s="134"/>
      <c r="I205" s="134"/>
    </row>
    <row r="206" spans="1:9" ht="14.25" customHeight="1" x14ac:dyDescent="0.45">
      <c r="A206" s="132"/>
      <c r="B206" s="132"/>
      <c r="C206" s="133"/>
      <c r="D206" s="133"/>
      <c r="E206" s="133"/>
      <c r="F206" s="133"/>
      <c r="G206" s="134"/>
      <c r="H206" s="134"/>
      <c r="I206" s="134"/>
    </row>
    <row r="207" spans="1:9" ht="14.25" customHeight="1" x14ac:dyDescent="0.45">
      <c r="A207" s="132"/>
      <c r="B207" s="132"/>
      <c r="C207" s="133"/>
      <c r="D207" s="133"/>
      <c r="E207" s="133"/>
      <c r="F207" s="133"/>
      <c r="G207" s="134"/>
      <c r="H207" s="134"/>
      <c r="I207" s="134"/>
    </row>
    <row r="208" spans="1:9" ht="14.25" customHeight="1" x14ac:dyDescent="0.45">
      <c r="A208" s="132"/>
      <c r="B208" s="132"/>
      <c r="C208" s="133"/>
      <c r="D208" s="133"/>
      <c r="E208" s="133"/>
      <c r="F208" s="133"/>
      <c r="G208" s="134"/>
      <c r="H208" s="134"/>
      <c r="I208" s="134"/>
    </row>
    <row r="209" spans="1:9" ht="14.25" customHeight="1" x14ac:dyDescent="0.45">
      <c r="A209" s="132"/>
      <c r="B209" s="132"/>
      <c r="C209" s="133"/>
      <c r="D209" s="133"/>
      <c r="E209" s="133"/>
      <c r="F209" s="133"/>
      <c r="G209" s="134"/>
      <c r="H209" s="134"/>
      <c r="I209" s="134"/>
    </row>
    <row r="210" spans="1:9" ht="14.25" customHeight="1" x14ac:dyDescent="0.45">
      <c r="A210" s="132"/>
      <c r="B210" s="132"/>
      <c r="C210" s="133"/>
      <c r="D210" s="133"/>
      <c r="E210" s="133"/>
      <c r="F210" s="133"/>
      <c r="G210" s="134"/>
      <c r="H210" s="134"/>
      <c r="I210" s="134"/>
    </row>
    <row r="211" spans="1:9" ht="14.25" customHeight="1" x14ac:dyDescent="0.45">
      <c r="A211" s="132"/>
      <c r="B211" s="132"/>
      <c r="C211" s="133"/>
      <c r="D211" s="133"/>
      <c r="E211" s="133"/>
      <c r="F211" s="133"/>
      <c r="G211" s="134"/>
      <c r="H211" s="134"/>
      <c r="I211" s="134"/>
    </row>
    <row r="212" spans="1:9" ht="14.25" customHeight="1" x14ac:dyDescent="0.45">
      <c r="A212" s="132"/>
      <c r="B212" s="132"/>
      <c r="C212" s="133"/>
      <c r="D212" s="133"/>
      <c r="E212" s="133"/>
      <c r="F212" s="133"/>
      <c r="G212" s="134"/>
      <c r="H212" s="134"/>
      <c r="I212" s="134"/>
    </row>
    <row r="213" spans="1:9" ht="14.25" customHeight="1" x14ac:dyDescent="0.45">
      <c r="A213" s="132"/>
      <c r="B213" s="132"/>
      <c r="C213" s="133"/>
      <c r="D213" s="133"/>
      <c r="E213" s="133"/>
      <c r="F213" s="133"/>
      <c r="G213" s="134"/>
      <c r="H213" s="134"/>
      <c r="I213" s="134"/>
    </row>
    <row r="214" spans="1:9" ht="14.25" customHeight="1" x14ac:dyDescent="0.45">
      <c r="A214" s="132"/>
      <c r="B214" s="132"/>
      <c r="C214" s="133"/>
      <c r="D214" s="133"/>
      <c r="E214" s="133"/>
      <c r="F214" s="133"/>
      <c r="G214" s="134"/>
      <c r="H214" s="134"/>
      <c r="I214" s="134"/>
    </row>
    <row r="215" spans="1:9" ht="14.25" customHeight="1" x14ac:dyDescent="0.45">
      <c r="A215" s="132"/>
      <c r="B215" s="132"/>
      <c r="C215" s="133"/>
      <c r="D215" s="133"/>
      <c r="E215" s="133"/>
      <c r="F215" s="133"/>
      <c r="G215" s="134"/>
      <c r="H215" s="134"/>
      <c r="I215" s="134"/>
    </row>
    <row r="216" spans="1:9" ht="14.25" customHeight="1" x14ac:dyDescent="0.45">
      <c r="A216" s="132"/>
      <c r="B216" s="132"/>
      <c r="C216" s="133"/>
      <c r="D216" s="133"/>
      <c r="E216" s="133"/>
      <c r="F216" s="133"/>
      <c r="G216" s="134"/>
      <c r="H216" s="134"/>
      <c r="I216" s="134"/>
    </row>
    <row r="217" spans="1:9" ht="14.25" customHeight="1" x14ac:dyDescent="0.45">
      <c r="A217" s="132"/>
      <c r="B217" s="132"/>
      <c r="C217" s="133"/>
      <c r="D217" s="133"/>
      <c r="E217" s="133"/>
      <c r="F217" s="133"/>
      <c r="G217" s="134"/>
      <c r="H217" s="134"/>
      <c r="I217" s="134"/>
    </row>
    <row r="218" spans="1:9" ht="14.25" customHeight="1" x14ac:dyDescent="0.45">
      <c r="A218" s="132"/>
      <c r="B218" s="132"/>
      <c r="C218" s="133"/>
      <c r="D218" s="133"/>
      <c r="E218" s="133"/>
      <c r="F218" s="133"/>
      <c r="G218" s="134"/>
      <c r="H218" s="134"/>
      <c r="I218" s="134"/>
    </row>
    <row r="219" spans="1:9" ht="14.25" customHeight="1" x14ac:dyDescent="0.45">
      <c r="A219" s="132"/>
      <c r="B219" s="132"/>
      <c r="C219" s="133"/>
      <c r="D219" s="133"/>
      <c r="E219" s="133"/>
      <c r="F219" s="133"/>
      <c r="G219" s="134"/>
      <c r="H219" s="134"/>
      <c r="I219" s="134"/>
    </row>
    <row r="220" spans="1:9" ht="14.25" customHeight="1" x14ac:dyDescent="0.45">
      <c r="A220" s="132"/>
      <c r="B220" s="132"/>
      <c r="C220" s="133"/>
      <c r="D220" s="133"/>
      <c r="E220" s="133"/>
      <c r="F220" s="133"/>
      <c r="G220" s="134"/>
      <c r="H220" s="134"/>
      <c r="I220" s="134"/>
    </row>
    <row r="221" spans="1:9" ht="14.25" customHeight="1" x14ac:dyDescent="0.45">
      <c r="A221" s="132"/>
      <c r="B221" s="132"/>
      <c r="C221" s="133"/>
      <c r="D221" s="133"/>
      <c r="E221" s="133"/>
      <c r="F221" s="133"/>
      <c r="G221" s="134"/>
      <c r="H221" s="134"/>
      <c r="I221" s="134"/>
    </row>
    <row r="222" spans="1:9" ht="14.25" customHeight="1" x14ac:dyDescent="0.45">
      <c r="A222" s="132"/>
      <c r="B222" s="132"/>
      <c r="C222" s="133"/>
      <c r="D222" s="133"/>
      <c r="E222" s="133"/>
      <c r="F222" s="133"/>
      <c r="G222" s="134"/>
      <c r="H222" s="134"/>
      <c r="I222" s="134"/>
    </row>
    <row r="223" spans="1:9" ht="14.25" customHeight="1" x14ac:dyDescent="0.45">
      <c r="A223" s="132"/>
      <c r="B223" s="132"/>
      <c r="C223" s="133"/>
      <c r="D223" s="133"/>
      <c r="E223" s="133"/>
      <c r="F223" s="133"/>
      <c r="G223" s="134"/>
      <c r="H223" s="134"/>
      <c r="I223" s="134"/>
    </row>
    <row r="224" spans="1:9" ht="14.25" customHeight="1" x14ac:dyDescent="0.45">
      <c r="A224" s="132"/>
      <c r="B224" s="132"/>
      <c r="C224" s="133"/>
      <c r="D224" s="133"/>
      <c r="E224" s="133"/>
      <c r="F224" s="133"/>
      <c r="G224" s="134"/>
      <c r="H224" s="134"/>
      <c r="I224" s="134"/>
    </row>
    <row r="225" spans="1:9" ht="14.25" customHeight="1" x14ac:dyDescent="0.45">
      <c r="A225" s="132"/>
      <c r="B225" s="132"/>
      <c r="C225" s="133"/>
      <c r="D225" s="133"/>
      <c r="E225" s="133"/>
      <c r="F225" s="133"/>
      <c r="G225" s="134"/>
      <c r="H225" s="134"/>
      <c r="I225" s="134"/>
    </row>
    <row r="226" spans="1:9" ht="14.25" customHeight="1" x14ac:dyDescent="0.45">
      <c r="A226" s="132"/>
      <c r="B226" s="132"/>
      <c r="C226" s="133"/>
      <c r="D226" s="133"/>
      <c r="E226" s="133"/>
      <c r="F226" s="133"/>
      <c r="G226" s="134"/>
      <c r="H226" s="134"/>
      <c r="I226" s="134"/>
    </row>
    <row r="227" spans="1:9" ht="14.25" customHeight="1" x14ac:dyDescent="0.45">
      <c r="A227" s="132"/>
      <c r="B227" s="132"/>
      <c r="C227" s="133"/>
      <c r="D227" s="133"/>
      <c r="E227" s="133"/>
      <c r="F227" s="133"/>
      <c r="G227" s="134"/>
      <c r="H227" s="134"/>
      <c r="I227" s="134"/>
    </row>
    <row r="228" spans="1:9" ht="14.25" customHeight="1" x14ac:dyDescent="0.45">
      <c r="A228" s="132"/>
      <c r="B228" s="132"/>
      <c r="C228" s="133"/>
      <c r="D228" s="133"/>
      <c r="E228" s="133"/>
      <c r="F228" s="133"/>
      <c r="G228" s="134"/>
      <c r="H228" s="134"/>
      <c r="I228" s="134"/>
    </row>
    <row r="229" spans="1:9" ht="14.25" customHeight="1" x14ac:dyDescent="0.45">
      <c r="A229" s="132"/>
      <c r="B229" s="132"/>
      <c r="C229" s="133"/>
      <c r="D229" s="133"/>
      <c r="E229" s="133"/>
      <c r="F229" s="133"/>
      <c r="G229" s="134"/>
      <c r="H229" s="134"/>
      <c r="I229" s="134"/>
    </row>
    <row r="230" spans="1:9" ht="14.25" customHeight="1" x14ac:dyDescent="0.45">
      <c r="A230" s="132"/>
      <c r="B230" s="132"/>
      <c r="C230" s="133"/>
      <c r="D230" s="133"/>
      <c r="E230" s="133"/>
      <c r="F230" s="133"/>
      <c r="G230" s="134"/>
      <c r="H230" s="134"/>
      <c r="I230" s="134"/>
    </row>
    <row r="231" spans="1:9" ht="14.25" customHeight="1" x14ac:dyDescent="0.45">
      <c r="A231" s="132"/>
      <c r="B231" s="132"/>
      <c r="C231" s="133"/>
      <c r="D231" s="133"/>
      <c r="E231" s="133"/>
      <c r="F231" s="133"/>
      <c r="G231" s="134"/>
      <c r="H231" s="134"/>
      <c r="I231" s="134"/>
    </row>
    <row r="232" spans="1:9" ht="14.25" customHeight="1" x14ac:dyDescent="0.45">
      <c r="A232" s="132"/>
      <c r="B232" s="132"/>
      <c r="C232" s="133"/>
      <c r="D232" s="133"/>
      <c r="E232" s="133"/>
      <c r="F232" s="133"/>
      <c r="G232" s="134"/>
      <c r="H232" s="134"/>
      <c r="I232" s="134"/>
    </row>
    <row r="233" spans="1:9" ht="14.25" customHeight="1" x14ac:dyDescent="0.45">
      <c r="A233" s="132"/>
      <c r="B233" s="132"/>
      <c r="C233" s="133"/>
      <c r="D233" s="133"/>
      <c r="E233" s="133"/>
      <c r="F233" s="133"/>
      <c r="G233" s="134"/>
      <c r="H233" s="134"/>
      <c r="I233" s="134"/>
    </row>
    <row r="234" spans="1:9" ht="14.25" customHeight="1" x14ac:dyDescent="0.45">
      <c r="A234" s="132"/>
      <c r="B234" s="132"/>
      <c r="C234" s="133"/>
      <c r="D234" s="133"/>
      <c r="E234" s="133"/>
      <c r="F234" s="133"/>
      <c r="G234" s="134"/>
      <c r="H234" s="134"/>
      <c r="I234" s="134"/>
    </row>
    <row r="235" spans="1:9" ht="14.25" customHeight="1" x14ac:dyDescent="0.45">
      <c r="A235" s="132"/>
      <c r="B235" s="132"/>
      <c r="C235" s="133"/>
      <c r="D235" s="133"/>
      <c r="E235" s="133"/>
      <c r="F235" s="133"/>
      <c r="G235" s="134"/>
      <c r="H235" s="134"/>
      <c r="I235" s="134"/>
    </row>
    <row r="236" spans="1:9" ht="14.25" customHeight="1" x14ac:dyDescent="0.45">
      <c r="A236" s="132"/>
      <c r="B236" s="132"/>
      <c r="C236" s="133"/>
      <c r="D236" s="133"/>
      <c r="E236" s="133"/>
      <c r="F236" s="133"/>
      <c r="G236" s="134"/>
      <c r="H236" s="134"/>
      <c r="I236" s="134"/>
    </row>
    <row r="237" spans="1:9" ht="14.25" customHeight="1" x14ac:dyDescent="0.45">
      <c r="A237" s="132"/>
      <c r="B237" s="132"/>
      <c r="C237" s="133"/>
      <c r="D237" s="133"/>
      <c r="E237" s="133"/>
      <c r="F237" s="133"/>
      <c r="G237" s="134"/>
      <c r="H237" s="134"/>
      <c r="I237" s="134"/>
    </row>
    <row r="238" spans="1:9" ht="14.25" customHeight="1" x14ac:dyDescent="0.45">
      <c r="A238" s="132"/>
      <c r="B238" s="132"/>
      <c r="C238" s="133"/>
      <c r="D238" s="133"/>
      <c r="E238" s="133"/>
      <c r="F238" s="133"/>
      <c r="G238" s="134"/>
      <c r="H238" s="134"/>
      <c r="I238" s="134"/>
    </row>
    <row r="239" spans="1:9" ht="14.25" customHeight="1" x14ac:dyDescent="0.45">
      <c r="A239" s="132"/>
      <c r="B239" s="132"/>
      <c r="C239" s="133"/>
      <c r="D239" s="133"/>
      <c r="E239" s="133"/>
      <c r="F239" s="133"/>
      <c r="G239" s="134"/>
      <c r="H239" s="134"/>
      <c r="I239" s="134"/>
    </row>
    <row r="240" spans="1:9" ht="14.25" customHeight="1" x14ac:dyDescent="0.45">
      <c r="A240" s="132"/>
      <c r="B240" s="132"/>
      <c r="C240" s="133"/>
      <c r="D240" s="133"/>
      <c r="E240" s="133"/>
      <c r="F240" s="133"/>
      <c r="G240" s="134"/>
      <c r="H240" s="134"/>
      <c r="I240" s="134"/>
    </row>
    <row r="241" spans="1:9" ht="14.25" customHeight="1" x14ac:dyDescent="0.45">
      <c r="A241" s="132"/>
      <c r="B241" s="132"/>
      <c r="C241" s="133"/>
      <c r="D241" s="133"/>
      <c r="E241" s="133"/>
      <c r="F241" s="133"/>
      <c r="G241" s="134"/>
      <c r="H241" s="134"/>
      <c r="I241" s="134"/>
    </row>
    <row r="242" spans="1:9" ht="14.25" customHeight="1" x14ac:dyDescent="0.45">
      <c r="A242" s="132"/>
      <c r="B242" s="132"/>
      <c r="C242" s="133"/>
      <c r="D242" s="133"/>
      <c r="E242" s="133"/>
      <c r="F242" s="133"/>
      <c r="G242" s="134"/>
      <c r="H242" s="134"/>
      <c r="I242" s="134"/>
    </row>
    <row r="243" spans="1:9" ht="14.25" customHeight="1" x14ac:dyDescent="0.45">
      <c r="A243" s="132"/>
      <c r="B243" s="132"/>
      <c r="C243" s="133"/>
      <c r="D243" s="133"/>
      <c r="E243" s="133"/>
      <c r="F243" s="133"/>
      <c r="G243" s="134"/>
      <c r="H243" s="134"/>
      <c r="I243" s="134"/>
    </row>
    <row r="244" spans="1:9" ht="14.25" customHeight="1" x14ac:dyDescent="0.45">
      <c r="A244" s="132"/>
      <c r="B244" s="132"/>
      <c r="C244" s="133"/>
      <c r="D244" s="133"/>
      <c r="E244" s="133"/>
      <c r="F244" s="133"/>
      <c r="G244" s="134"/>
      <c r="H244" s="134"/>
      <c r="I244" s="134"/>
    </row>
    <row r="245" spans="1:9" ht="14.25" customHeight="1" x14ac:dyDescent="0.45">
      <c r="A245" s="132"/>
      <c r="B245" s="132"/>
      <c r="C245" s="133"/>
      <c r="D245" s="133"/>
      <c r="E245" s="133"/>
      <c r="F245" s="133"/>
      <c r="G245" s="134"/>
      <c r="H245" s="134"/>
      <c r="I245" s="134"/>
    </row>
    <row r="246" spans="1:9" ht="14.25" customHeight="1" x14ac:dyDescent="0.45">
      <c r="A246" s="132"/>
      <c r="B246" s="132"/>
      <c r="C246" s="133"/>
      <c r="D246" s="133"/>
      <c r="E246" s="133"/>
      <c r="F246" s="133"/>
      <c r="G246" s="134"/>
      <c r="H246" s="134"/>
      <c r="I246" s="134"/>
    </row>
    <row r="247" spans="1:9" ht="14.25" customHeight="1" x14ac:dyDescent="0.45">
      <c r="A247" s="132"/>
      <c r="B247" s="132"/>
      <c r="C247" s="133"/>
      <c r="D247" s="133"/>
      <c r="E247" s="133"/>
      <c r="F247" s="133"/>
      <c r="G247" s="134"/>
      <c r="H247" s="134"/>
      <c r="I247" s="134"/>
    </row>
    <row r="248" spans="1:9" ht="14.25" customHeight="1" x14ac:dyDescent="0.45">
      <c r="A248" s="132"/>
      <c r="B248" s="132"/>
      <c r="C248" s="133"/>
      <c r="D248" s="133"/>
      <c r="E248" s="133"/>
      <c r="F248" s="133"/>
      <c r="G248" s="134"/>
      <c r="H248" s="134"/>
      <c r="I248" s="134"/>
    </row>
    <row r="249" spans="1:9" ht="14.25" customHeight="1" x14ac:dyDescent="0.45">
      <c r="A249" s="132"/>
      <c r="B249" s="132"/>
      <c r="C249" s="133"/>
      <c r="D249" s="133"/>
      <c r="E249" s="133"/>
      <c r="F249" s="133"/>
      <c r="G249" s="134"/>
      <c r="H249" s="134"/>
      <c r="I249" s="134"/>
    </row>
    <row r="250" spans="1:9" ht="14.25" customHeight="1" x14ac:dyDescent="0.45">
      <c r="A250" s="132"/>
      <c r="B250" s="132"/>
      <c r="C250" s="133"/>
      <c r="D250" s="133"/>
      <c r="E250" s="133"/>
      <c r="F250" s="133"/>
      <c r="G250" s="134"/>
      <c r="H250" s="134"/>
      <c r="I250" s="134"/>
    </row>
    <row r="251" spans="1:9" ht="14.25" customHeight="1" x14ac:dyDescent="0.45">
      <c r="A251" s="132"/>
      <c r="B251" s="132"/>
      <c r="C251" s="133"/>
      <c r="D251" s="133"/>
      <c r="E251" s="133"/>
      <c r="F251" s="133"/>
      <c r="G251" s="134"/>
      <c r="H251" s="134"/>
      <c r="I251" s="134"/>
    </row>
    <row r="252" spans="1:9" ht="14.25" customHeight="1" x14ac:dyDescent="0.45">
      <c r="A252" s="132"/>
      <c r="B252" s="132"/>
      <c r="C252" s="133"/>
      <c r="D252" s="133"/>
      <c r="E252" s="133"/>
      <c r="F252" s="133"/>
      <c r="G252" s="134"/>
      <c r="H252" s="134"/>
      <c r="I252" s="134"/>
    </row>
    <row r="253" spans="1:9" ht="14.25" customHeight="1" x14ac:dyDescent="0.45">
      <c r="A253" s="132"/>
      <c r="B253" s="132"/>
      <c r="C253" s="133"/>
      <c r="D253" s="133"/>
      <c r="E253" s="133"/>
      <c r="F253" s="133"/>
      <c r="G253" s="134"/>
      <c r="H253" s="134"/>
      <c r="I253" s="134"/>
    </row>
    <row r="254" spans="1:9" ht="14.25" customHeight="1" x14ac:dyDescent="0.45">
      <c r="A254" s="132"/>
      <c r="B254" s="132"/>
      <c r="C254" s="133"/>
      <c r="D254" s="133"/>
      <c r="E254" s="133"/>
      <c r="F254" s="133"/>
      <c r="G254" s="134"/>
      <c r="H254" s="134"/>
      <c r="I254" s="134"/>
    </row>
    <row r="255" spans="1:9" ht="14.25" customHeight="1" x14ac:dyDescent="0.45">
      <c r="A255" s="132"/>
      <c r="B255" s="132"/>
      <c r="C255" s="133"/>
      <c r="D255" s="133"/>
      <c r="E255" s="133"/>
      <c r="F255" s="133"/>
      <c r="G255" s="134"/>
      <c r="H255" s="134"/>
      <c r="I255" s="134"/>
    </row>
    <row r="256" spans="1:9" ht="14.25" customHeight="1" x14ac:dyDescent="0.45">
      <c r="A256" s="132"/>
      <c r="B256" s="132"/>
      <c r="C256" s="133"/>
      <c r="D256" s="133"/>
      <c r="E256" s="133"/>
      <c r="F256" s="133"/>
      <c r="G256" s="134"/>
      <c r="H256" s="134"/>
      <c r="I256" s="134"/>
    </row>
    <row r="257" spans="1:9" ht="14.25" customHeight="1" x14ac:dyDescent="0.45">
      <c r="A257" s="132"/>
      <c r="B257" s="132"/>
      <c r="C257" s="133"/>
      <c r="D257" s="133"/>
      <c r="E257" s="133"/>
      <c r="F257" s="133"/>
      <c r="G257" s="134"/>
      <c r="H257" s="134"/>
      <c r="I257" s="134"/>
    </row>
    <row r="258" spans="1:9" ht="14.25" customHeight="1" x14ac:dyDescent="0.45">
      <c r="A258" s="132"/>
      <c r="B258" s="132"/>
      <c r="C258" s="133"/>
      <c r="D258" s="133"/>
      <c r="E258" s="133"/>
      <c r="F258" s="133"/>
      <c r="G258" s="134"/>
      <c r="H258" s="134"/>
      <c r="I258" s="134"/>
    </row>
    <row r="259" spans="1:9" ht="14.25" customHeight="1" x14ac:dyDescent="0.45">
      <c r="A259" s="132"/>
      <c r="B259" s="132"/>
      <c r="C259" s="133"/>
      <c r="D259" s="133"/>
      <c r="E259" s="133"/>
      <c r="F259" s="133"/>
      <c r="G259" s="134"/>
      <c r="H259" s="134"/>
      <c r="I259" s="134"/>
    </row>
    <row r="260" spans="1:9" ht="14.25" customHeight="1" x14ac:dyDescent="0.45">
      <c r="A260" s="132"/>
      <c r="B260" s="132"/>
      <c r="C260" s="133"/>
      <c r="D260" s="133"/>
      <c r="E260" s="133"/>
      <c r="F260" s="133"/>
      <c r="G260" s="134"/>
      <c r="H260" s="134"/>
      <c r="I260" s="134"/>
    </row>
    <row r="261" spans="1:9" ht="14.25" customHeight="1" x14ac:dyDescent="0.45">
      <c r="A261" s="132"/>
      <c r="B261" s="132"/>
      <c r="C261" s="133"/>
      <c r="D261" s="133"/>
      <c r="E261" s="133"/>
      <c r="F261" s="133"/>
      <c r="G261" s="134"/>
      <c r="H261" s="134"/>
      <c r="I261" s="134"/>
    </row>
    <row r="262" spans="1:9" ht="14.25" customHeight="1" x14ac:dyDescent="0.45">
      <c r="A262" s="132"/>
      <c r="B262" s="132"/>
      <c r="C262" s="133"/>
      <c r="D262" s="133"/>
      <c r="E262" s="133"/>
      <c r="F262" s="133"/>
      <c r="G262" s="134"/>
      <c r="H262" s="134"/>
      <c r="I262" s="134"/>
    </row>
    <row r="263" spans="1:9" ht="14.25" customHeight="1" x14ac:dyDescent="0.45">
      <c r="A263" s="132"/>
      <c r="B263" s="132"/>
      <c r="C263" s="133"/>
      <c r="D263" s="133"/>
      <c r="E263" s="133"/>
      <c r="F263" s="133"/>
      <c r="G263" s="134"/>
      <c r="H263" s="134"/>
      <c r="I263" s="134"/>
    </row>
    <row r="264" spans="1:9" ht="14.25" customHeight="1" x14ac:dyDescent="0.45">
      <c r="A264" s="132"/>
      <c r="B264" s="132"/>
      <c r="C264" s="133"/>
      <c r="D264" s="133"/>
      <c r="E264" s="133"/>
      <c r="F264" s="133"/>
      <c r="G264" s="134"/>
      <c r="H264" s="134"/>
      <c r="I264" s="134"/>
    </row>
    <row r="265" spans="1:9" ht="14.25" customHeight="1" x14ac:dyDescent="0.45">
      <c r="A265" s="132"/>
      <c r="B265" s="132"/>
      <c r="C265" s="133"/>
      <c r="D265" s="133"/>
      <c r="E265" s="133"/>
      <c r="F265" s="133"/>
      <c r="G265" s="134"/>
      <c r="H265" s="134"/>
      <c r="I265" s="134"/>
    </row>
    <row r="266" spans="1:9" ht="14.25" customHeight="1" x14ac:dyDescent="0.45">
      <c r="A266" s="132"/>
      <c r="B266" s="132"/>
      <c r="C266" s="133"/>
      <c r="D266" s="133"/>
      <c r="E266" s="133"/>
      <c r="F266" s="133"/>
      <c r="G266" s="134"/>
      <c r="H266" s="134"/>
      <c r="I266" s="134"/>
    </row>
    <row r="267" spans="1:9" ht="14.25" customHeight="1" x14ac:dyDescent="0.45">
      <c r="A267" s="132"/>
      <c r="B267" s="132"/>
      <c r="C267" s="133"/>
      <c r="D267" s="133"/>
      <c r="E267" s="133"/>
      <c r="F267" s="133"/>
      <c r="G267" s="134"/>
      <c r="H267" s="134"/>
      <c r="I267" s="134"/>
    </row>
    <row r="268" spans="1:9" ht="14.25" customHeight="1" x14ac:dyDescent="0.45">
      <c r="A268" s="132"/>
      <c r="B268" s="132"/>
      <c r="C268" s="133"/>
      <c r="D268" s="133"/>
      <c r="E268" s="133"/>
      <c r="F268" s="133"/>
      <c r="G268" s="134"/>
      <c r="H268" s="134"/>
      <c r="I268" s="134"/>
    </row>
    <row r="269" spans="1:9" ht="14.25" customHeight="1" x14ac:dyDescent="0.45">
      <c r="A269" s="132"/>
      <c r="B269" s="132"/>
      <c r="C269" s="133"/>
      <c r="D269" s="133"/>
      <c r="E269" s="133"/>
      <c r="F269" s="133"/>
      <c r="G269" s="134"/>
      <c r="H269" s="134"/>
      <c r="I269" s="134"/>
    </row>
    <row r="270" spans="1:9" ht="14.25" customHeight="1" x14ac:dyDescent="0.45">
      <c r="A270" s="132"/>
      <c r="B270" s="132"/>
      <c r="C270" s="133"/>
      <c r="D270" s="133"/>
      <c r="E270" s="133"/>
      <c r="F270" s="133"/>
      <c r="G270" s="134"/>
      <c r="H270" s="134"/>
      <c r="I270" s="134"/>
    </row>
    <row r="271" spans="1:9" ht="14.25" customHeight="1" x14ac:dyDescent="0.45">
      <c r="A271" s="132"/>
      <c r="B271" s="132"/>
      <c r="C271" s="133"/>
      <c r="D271" s="133"/>
      <c r="E271" s="133"/>
      <c r="F271" s="133"/>
      <c r="G271" s="134"/>
      <c r="H271" s="134"/>
      <c r="I271" s="134"/>
    </row>
    <row r="272" spans="1:9" ht="14.25" customHeight="1" x14ac:dyDescent="0.45">
      <c r="A272" s="132"/>
      <c r="B272" s="132"/>
      <c r="C272" s="133"/>
      <c r="D272" s="133"/>
      <c r="E272" s="133"/>
      <c r="F272" s="133"/>
      <c r="G272" s="134"/>
      <c r="H272" s="134"/>
      <c r="I272" s="134"/>
    </row>
    <row r="273" spans="1:9" ht="14.25" customHeight="1" x14ac:dyDescent="0.45">
      <c r="A273" s="132"/>
      <c r="B273" s="132"/>
      <c r="C273" s="133"/>
      <c r="D273" s="133"/>
      <c r="E273" s="133"/>
      <c r="F273" s="133"/>
      <c r="G273" s="134"/>
      <c r="H273" s="134"/>
      <c r="I273" s="134"/>
    </row>
    <row r="274" spans="1:9" ht="14.25" customHeight="1" x14ac:dyDescent="0.45">
      <c r="A274" s="132"/>
      <c r="B274" s="132"/>
      <c r="C274" s="133"/>
      <c r="D274" s="133"/>
      <c r="E274" s="133"/>
      <c r="F274" s="133"/>
      <c r="G274" s="134"/>
      <c r="H274" s="134"/>
      <c r="I274" s="134"/>
    </row>
    <row r="275" spans="1:9" ht="14.25" customHeight="1" x14ac:dyDescent="0.45">
      <c r="A275" s="132"/>
      <c r="B275" s="132"/>
      <c r="C275" s="133"/>
      <c r="D275" s="133"/>
      <c r="E275" s="133"/>
      <c r="F275" s="133"/>
      <c r="G275" s="134"/>
      <c r="H275" s="134"/>
      <c r="I275" s="134"/>
    </row>
    <row r="276" spans="1:9" ht="14.25" customHeight="1" x14ac:dyDescent="0.45">
      <c r="A276" s="132"/>
      <c r="B276" s="132"/>
      <c r="C276" s="133"/>
      <c r="D276" s="133"/>
      <c r="E276" s="133"/>
      <c r="F276" s="133"/>
      <c r="G276" s="134"/>
      <c r="H276" s="134"/>
      <c r="I276" s="134"/>
    </row>
    <row r="277" spans="1:9" ht="14.25" customHeight="1" x14ac:dyDescent="0.45">
      <c r="A277" s="132"/>
      <c r="B277" s="132"/>
      <c r="C277" s="133"/>
      <c r="D277" s="133"/>
      <c r="E277" s="133"/>
      <c r="F277" s="133"/>
      <c r="G277" s="134"/>
      <c r="H277" s="134"/>
      <c r="I277" s="134"/>
    </row>
    <row r="278" spans="1:9" ht="14.25" customHeight="1" x14ac:dyDescent="0.45">
      <c r="A278" s="132"/>
      <c r="B278" s="132"/>
      <c r="C278" s="133"/>
      <c r="D278" s="133"/>
      <c r="E278" s="133"/>
      <c r="F278" s="133"/>
      <c r="G278" s="134"/>
      <c r="H278" s="134"/>
      <c r="I278" s="134"/>
    </row>
    <row r="279" spans="1:9" ht="14.25" customHeight="1" x14ac:dyDescent="0.45">
      <c r="A279" s="132"/>
      <c r="B279" s="132"/>
      <c r="C279" s="133"/>
      <c r="D279" s="133"/>
      <c r="E279" s="133"/>
      <c r="F279" s="133"/>
      <c r="G279" s="134"/>
      <c r="H279" s="134"/>
      <c r="I279" s="134"/>
    </row>
    <row r="280" spans="1:9" ht="14.25" customHeight="1" x14ac:dyDescent="0.45">
      <c r="A280" s="132"/>
      <c r="B280" s="132"/>
      <c r="C280" s="133"/>
      <c r="D280" s="133"/>
      <c r="E280" s="133"/>
      <c r="F280" s="133"/>
      <c r="G280" s="134"/>
      <c r="H280" s="134"/>
      <c r="I280" s="134"/>
    </row>
    <row r="281" spans="1:9" ht="14.25" customHeight="1" x14ac:dyDescent="0.45">
      <c r="A281" s="132"/>
      <c r="B281" s="132"/>
      <c r="C281" s="133"/>
      <c r="D281" s="133"/>
      <c r="E281" s="133"/>
      <c r="F281" s="133"/>
      <c r="G281" s="134"/>
      <c r="H281" s="134"/>
      <c r="I281" s="134"/>
    </row>
    <row r="282" spans="1:9" ht="14.25" customHeight="1" x14ac:dyDescent="0.45">
      <c r="A282" s="132"/>
      <c r="B282" s="132"/>
      <c r="C282" s="133"/>
      <c r="D282" s="133"/>
      <c r="E282" s="133"/>
      <c r="F282" s="133"/>
      <c r="G282" s="134"/>
      <c r="H282" s="134"/>
      <c r="I282" s="134"/>
    </row>
    <row r="283" spans="1:9" ht="14.25" customHeight="1" x14ac:dyDescent="0.45">
      <c r="A283" s="132"/>
      <c r="B283" s="132"/>
      <c r="C283" s="133"/>
      <c r="D283" s="133"/>
      <c r="E283" s="133"/>
      <c r="F283" s="133"/>
      <c r="G283" s="134"/>
      <c r="H283" s="134"/>
      <c r="I283" s="134"/>
    </row>
    <row r="284" spans="1:9" ht="14.25" customHeight="1" x14ac:dyDescent="0.45">
      <c r="A284" s="132"/>
      <c r="B284" s="132"/>
      <c r="C284" s="133"/>
      <c r="D284" s="133"/>
      <c r="E284" s="133"/>
      <c r="F284" s="133"/>
      <c r="G284" s="134"/>
      <c r="H284" s="134"/>
      <c r="I284" s="134"/>
    </row>
    <row r="285" spans="1:9" ht="14.25" customHeight="1" x14ac:dyDescent="0.45">
      <c r="A285" s="132"/>
      <c r="B285" s="132"/>
      <c r="C285" s="133"/>
      <c r="D285" s="133"/>
      <c r="E285" s="133"/>
      <c r="F285" s="133"/>
      <c r="G285" s="134"/>
      <c r="H285" s="134"/>
      <c r="I285" s="134"/>
    </row>
    <row r="286" spans="1:9" ht="14.25" customHeight="1" x14ac:dyDescent="0.45">
      <c r="A286" s="132"/>
      <c r="B286" s="132"/>
      <c r="C286" s="133"/>
      <c r="D286" s="133"/>
      <c r="E286" s="133"/>
      <c r="F286" s="133"/>
      <c r="G286" s="134"/>
      <c r="H286" s="134"/>
      <c r="I286" s="134"/>
    </row>
    <row r="287" spans="1:9" ht="14.25" customHeight="1" x14ac:dyDescent="0.45">
      <c r="A287" s="132"/>
      <c r="B287" s="132"/>
      <c r="C287" s="133"/>
      <c r="D287" s="133"/>
      <c r="E287" s="133"/>
      <c r="F287" s="133"/>
      <c r="G287" s="134"/>
      <c r="H287" s="134"/>
      <c r="I287" s="134"/>
    </row>
    <row r="288" spans="1:9" ht="14.25" customHeight="1" x14ac:dyDescent="0.45">
      <c r="A288" s="132"/>
      <c r="B288" s="132"/>
      <c r="C288" s="133"/>
      <c r="D288" s="133"/>
      <c r="E288" s="133"/>
      <c r="F288" s="133"/>
      <c r="G288" s="134"/>
      <c r="H288" s="134"/>
      <c r="I288" s="134"/>
    </row>
    <row r="289" spans="1:9" ht="14.25" customHeight="1" x14ac:dyDescent="0.45">
      <c r="A289" s="132"/>
      <c r="B289" s="132"/>
      <c r="C289" s="133"/>
      <c r="D289" s="133"/>
      <c r="E289" s="133"/>
      <c r="F289" s="133"/>
      <c r="G289" s="134"/>
      <c r="H289" s="134"/>
      <c r="I289" s="134"/>
    </row>
    <row r="290" spans="1:9" ht="14.25" customHeight="1" x14ac:dyDescent="0.45">
      <c r="A290" s="132"/>
      <c r="B290" s="132"/>
      <c r="C290" s="133"/>
      <c r="D290" s="133"/>
      <c r="E290" s="133"/>
      <c r="F290" s="133"/>
      <c r="G290" s="134"/>
      <c r="H290" s="134"/>
      <c r="I290" s="134"/>
    </row>
    <row r="291" spans="1:9" ht="14.25" customHeight="1" x14ac:dyDescent="0.45">
      <c r="A291" s="132"/>
      <c r="B291" s="132"/>
      <c r="C291" s="133"/>
      <c r="D291" s="133"/>
      <c r="E291" s="133"/>
      <c r="F291" s="133"/>
      <c r="G291" s="134"/>
      <c r="H291" s="134"/>
      <c r="I291" s="134"/>
    </row>
    <row r="292" spans="1:9" ht="14.25" customHeight="1" x14ac:dyDescent="0.45">
      <c r="A292" s="132"/>
      <c r="B292" s="132"/>
      <c r="C292" s="133"/>
      <c r="D292" s="133"/>
      <c r="E292" s="133"/>
      <c r="F292" s="133"/>
      <c r="G292" s="134"/>
      <c r="H292" s="134"/>
      <c r="I292" s="134"/>
    </row>
    <row r="293" spans="1:9" ht="14.25" customHeight="1" x14ac:dyDescent="0.45">
      <c r="A293" s="132"/>
      <c r="B293" s="132"/>
      <c r="C293" s="133"/>
      <c r="D293" s="133"/>
      <c r="E293" s="133"/>
      <c r="F293" s="133"/>
      <c r="G293" s="134"/>
      <c r="H293" s="134"/>
      <c r="I293" s="134"/>
    </row>
    <row r="294" spans="1:9" ht="14.25" customHeight="1" x14ac:dyDescent="0.45">
      <c r="A294" s="132"/>
      <c r="B294" s="132"/>
      <c r="C294" s="133"/>
      <c r="D294" s="133"/>
      <c r="E294" s="133"/>
      <c r="F294" s="133"/>
      <c r="G294" s="134"/>
      <c r="H294" s="134"/>
      <c r="I294" s="134"/>
    </row>
    <row r="295" spans="1:9" ht="14.25" customHeight="1" x14ac:dyDescent="0.45">
      <c r="A295" s="132"/>
      <c r="B295" s="132"/>
      <c r="C295" s="133"/>
      <c r="D295" s="133"/>
      <c r="E295" s="133"/>
      <c r="F295" s="133"/>
      <c r="G295" s="134"/>
      <c r="H295" s="134"/>
      <c r="I295" s="134"/>
    </row>
    <row r="296" spans="1:9" ht="14.25" customHeight="1" x14ac:dyDescent="0.45">
      <c r="A296" s="132"/>
      <c r="B296" s="132"/>
      <c r="C296" s="133"/>
      <c r="D296" s="133"/>
      <c r="E296" s="133"/>
      <c r="F296" s="133"/>
      <c r="G296" s="134"/>
      <c r="H296" s="134"/>
      <c r="I296" s="134"/>
    </row>
    <row r="297" spans="1:9" ht="14.25" customHeight="1" x14ac:dyDescent="0.45">
      <c r="A297" s="132"/>
      <c r="B297" s="132"/>
      <c r="C297" s="133"/>
      <c r="D297" s="133"/>
      <c r="E297" s="133"/>
      <c r="F297" s="133"/>
      <c r="G297" s="134"/>
      <c r="H297" s="134"/>
      <c r="I297" s="134"/>
    </row>
    <row r="298" spans="1:9" ht="14.25" customHeight="1" x14ac:dyDescent="0.45">
      <c r="A298" s="132"/>
      <c r="B298" s="132"/>
      <c r="C298" s="133"/>
      <c r="D298" s="133"/>
      <c r="E298" s="133"/>
      <c r="F298" s="133"/>
      <c r="G298" s="134"/>
      <c r="H298" s="134"/>
      <c r="I298" s="134"/>
    </row>
    <row r="299" spans="1:9" ht="14.25" customHeight="1" x14ac:dyDescent="0.45">
      <c r="A299" s="132"/>
      <c r="B299" s="132"/>
      <c r="C299" s="133"/>
      <c r="D299" s="133"/>
      <c r="E299" s="133"/>
      <c r="F299" s="133"/>
      <c r="G299" s="134"/>
      <c r="H299" s="134"/>
      <c r="I299" s="134"/>
    </row>
    <row r="300" spans="1:9" ht="14.25" customHeight="1" x14ac:dyDescent="0.45">
      <c r="A300" s="132"/>
      <c r="B300" s="132"/>
      <c r="C300" s="133"/>
      <c r="D300" s="133"/>
      <c r="E300" s="133"/>
      <c r="F300" s="133"/>
      <c r="G300" s="134"/>
      <c r="H300" s="134"/>
      <c r="I300" s="134"/>
    </row>
    <row r="301" spans="1:9" ht="14.25" customHeight="1" x14ac:dyDescent="0.45">
      <c r="A301" s="132"/>
      <c r="B301" s="132"/>
      <c r="C301" s="133"/>
      <c r="D301" s="133"/>
      <c r="E301" s="133"/>
      <c r="F301" s="133"/>
      <c r="G301" s="134"/>
      <c r="H301" s="134"/>
      <c r="I301" s="134"/>
    </row>
    <row r="302" spans="1:9" ht="14.25" customHeight="1" x14ac:dyDescent="0.45">
      <c r="A302" s="132"/>
      <c r="B302" s="132"/>
      <c r="C302" s="133"/>
      <c r="D302" s="133"/>
      <c r="E302" s="133"/>
      <c r="F302" s="133"/>
      <c r="G302" s="134"/>
      <c r="H302" s="134"/>
      <c r="I302" s="134"/>
    </row>
    <row r="303" spans="1:9" ht="14.25" customHeight="1" x14ac:dyDescent="0.45">
      <c r="A303" s="132"/>
      <c r="B303" s="132"/>
      <c r="C303" s="133"/>
      <c r="D303" s="133"/>
      <c r="E303" s="133"/>
      <c r="F303" s="133"/>
      <c r="G303" s="134"/>
      <c r="H303" s="134"/>
      <c r="I303" s="134"/>
    </row>
    <row r="304" spans="1:9" ht="14.25" customHeight="1" x14ac:dyDescent="0.45">
      <c r="A304" s="132"/>
      <c r="B304" s="132"/>
      <c r="C304" s="133"/>
      <c r="D304" s="133"/>
      <c r="E304" s="133"/>
      <c r="F304" s="133"/>
      <c r="G304" s="134"/>
      <c r="H304" s="134"/>
      <c r="I304" s="134"/>
    </row>
    <row r="305" spans="1:9" ht="14.25" customHeight="1" x14ac:dyDescent="0.45">
      <c r="A305" s="132"/>
      <c r="B305" s="132"/>
      <c r="C305" s="133"/>
      <c r="D305" s="133"/>
      <c r="E305" s="133"/>
      <c r="F305" s="133"/>
      <c r="G305" s="134"/>
      <c r="H305" s="134"/>
      <c r="I305" s="134"/>
    </row>
    <row r="306" spans="1:9" ht="14.25" customHeight="1" x14ac:dyDescent="0.45">
      <c r="A306" s="132"/>
      <c r="B306" s="132"/>
      <c r="C306" s="133"/>
      <c r="D306" s="133"/>
      <c r="E306" s="133"/>
      <c r="F306" s="133"/>
      <c r="G306" s="134"/>
      <c r="H306" s="134"/>
      <c r="I306" s="134"/>
    </row>
    <row r="307" spans="1:9" ht="14.25" customHeight="1" x14ac:dyDescent="0.45">
      <c r="A307" s="132"/>
      <c r="B307" s="132"/>
      <c r="C307" s="133"/>
      <c r="D307" s="133"/>
      <c r="E307" s="133"/>
      <c r="F307" s="133"/>
      <c r="G307" s="134"/>
      <c r="H307" s="134"/>
      <c r="I307" s="134"/>
    </row>
    <row r="308" spans="1:9" ht="14.25" customHeight="1" x14ac:dyDescent="0.45">
      <c r="A308" s="132"/>
      <c r="B308" s="132"/>
      <c r="C308" s="133"/>
      <c r="D308" s="133"/>
      <c r="E308" s="133"/>
      <c r="F308" s="133"/>
      <c r="G308" s="134"/>
      <c r="H308" s="134"/>
      <c r="I308" s="134"/>
    </row>
    <row r="309" spans="1:9" ht="14.25" customHeight="1" x14ac:dyDescent="0.45">
      <c r="A309" s="132"/>
      <c r="B309" s="132"/>
      <c r="C309" s="133"/>
      <c r="D309" s="133"/>
      <c r="E309" s="133"/>
      <c r="F309" s="133"/>
      <c r="G309" s="134"/>
      <c r="H309" s="134"/>
      <c r="I309" s="134"/>
    </row>
    <row r="310" spans="1:9" ht="14.25" customHeight="1" x14ac:dyDescent="0.45">
      <c r="A310" s="132"/>
      <c r="B310" s="132"/>
      <c r="C310" s="133"/>
      <c r="D310" s="133"/>
      <c r="E310" s="133"/>
      <c r="F310" s="133"/>
      <c r="G310" s="134"/>
      <c r="H310" s="134"/>
      <c r="I310" s="134"/>
    </row>
    <row r="311" spans="1:9" ht="14.25" customHeight="1" x14ac:dyDescent="0.45">
      <c r="A311" s="132"/>
      <c r="B311" s="132"/>
      <c r="C311" s="133"/>
      <c r="D311" s="133"/>
      <c r="E311" s="133"/>
      <c r="F311" s="133"/>
      <c r="G311" s="134"/>
      <c r="H311" s="134"/>
      <c r="I311" s="134"/>
    </row>
    <row r="312" spans="1:9" ht="14.25" customHeight="1" x14ac:dyDescent="0.45">
      <c r="A312" s="132"/>
      <c r="B312" s="132"/>
      <c r="C312" s="133"/>
      <c r="D312" s="133"/>
      <c r="E312" s="133"/>
      <c r="F312" s="133"/>
      <c r="G312" s="134"/>
      <c r="H312" s="134"/>
      <c r="I312" s="134"/>
    </row>
    <row r="313" spans="1:9" ht="14.25" customHeight="1" x14ac:dyDescent="0.45">
      <c r="A313" s="132"/>
      <c r="B313" s="132"/>
      <c r="C313" s="133"/>
      <c r="D313" s="133"/>
      <c r="E313" s="133"/>
      <c r="F313" s="133"/>
      <c r="G313" s="134"/>
      <c r="H313" s="134"/>
      <c r="I313" s="134"/>
    </row>
    <row r="314" spans="1:9" ht="14.25" customHeight="1" x14ac:dyDescent="0.45">
      <c r="A314" s="132"/>
      <c r="B314" s="132"/>
      <c r="C314" s="133"/>
      <c r="D314" s="133"/>
      <c r="E314" s="133"/>
      <c r="F314" s="133"/>
      <c r="G314" s="134"/>
      <c r="H314" s="134"/>
      <c r="I314" s="134"/>
    </row>
    <row r="315" spans="1:9" ht="14.25" customHeight="1" x14ac:dyDescent="0.45">
      <c r="A315" s="132"/>
      <c r="B315" s="132"/>
      <c r="C315" s="133"/>
      <c r="D315" s="133"/>
      <c r="E315" s="133"/>
      <c r="F315" s="133"/>
      <c r="G315" s="134"/>
      <c r="H315" s="134"/>
      <c r="I315" s="134"/>
    </row>
    <row r="316" spans="1:9" ht="14.25" customHeight="1" x14ac:dyDescent="0.45">
      <c r="A316" s="132"/>
      <c r="B316" s="132"/>
      <c r="C316" s="133"/>
      <c r="D316" s="133"/>
      <c r="E316" s="133"/>
      <c r="F316" s="133"/>
      <c r="G316" s="134"/>
      <c r="H316" s="134"/>
      <c r="I316" s="134"/>
    </row>
    <row r="317" spans="1:9" ht="14.25" customHeight="1" x14ac:dyDescent="0.45">
      <c r="A317" s="132"/>
      <c r="B317" s="132"/>
      <c r="C317" s="133"/>
      <c r="D317" s="133"/>
      <c r="E317" s="133"/>
      <c r="F317" s="133"/>
      <c r="G317" s="134"/>
      <c r="H317" s="134"/>
      <c r="I317" s="134"/>
    </row>
    <row r="318" spans="1:9" ht="14.25" customHeight="1" x14ac:dyDescent="0.45">
      <c r="A318" s="132"/>
      <c r="B318" s="132"/>
      <c r="C318" s="133"/>
      <c r="D318" s="133"/>
      <c r="E318" s="133"/>
      <c r="F318" s="133"/>
      <c r="G318" s="134"/>
      <c r="H318" s="134"/>
      <c r="I318" s="134"/>
    </row>
    <row r="319" spans="1:9" ht="14.25" customHeight="1" x14ac:dyDescent="0.45">
      <c r="A319" s="132"/>
      <c r="B319" s="132"/>
      <c r="C319" s="133"/>
      <c r="D319" s="133"/>
      <c r="E319" s="133"/>
      <c r="F319" s="133"/>
      <c r="G319" s="134"/>
      <c r="H319" s="134"/>
      <c r="I319" s="134"/>
    </row>
    <row r="320" spans="1:9" ht="14.25" customHeight="1" x14ac:dyDescent="0.45">
      <c r="A320" s="132"/>
      <c r="B320" s="132"/>
      <c r="C320" s="133"/>
      <c r="D320" s="133"/>
      <c r="E320" s="133"/>
      <c r="F320" s="133"/>
      <c r="G320" s="134"/>
      <c r="H320" s="134"/>
      <c r="I320" s="134"/>
    </row>
    <row r="321" spans="1:9" ht="14.25" customHeight="1" x14ac:dyDescent="0.45">
      <c r="A321" s="132"/>
      <c r="B321" s="132"/>
      <c r="C321" s="133"/>
      <c r="D321" s="133"/>
      <c r="E321" s="133"/>
      <c r="F321" s="133"/>
      <c r="G321" s="134"/>
      <c r="H321" s="134"/>
      <c r="I321" s="134"/>
    </row>
    <row r="322" spans="1:9" ht="14.25" customHeight="1" x14ac:dyDescent="0.45">
      <c r="A322" s="132"/>
      <c r="B322" s="132"/>
      <c r="C322" s="133"/>
      <c r="D322" s="133"/>
      <c r="E322" s="133"/>
      <c r="F322" s="133"/>
      <c r="G322" s="134"/>
      <c r="H322" s="134"/>
      <c r="I322" s="134"/>
    </row>
    <row r="323" spans="1:9" ht="14.25" customHeight="1" x14ac:dyDescent="0.45">
      <c r="A323" s="132"/>
      <c r="B323" s="132"/>
      <c r="C323" s="133"/>
      <c r="D323" s="133"/>
      <c r="E323" s="133"/>
      <c r="F323" s="133"/>
      <c r="G323" s="134"/>
      <c r="H323" s="134"/>
      <c r="I323" s="134"/>
    </row>
    <row r="324" spans="1:9" ht="14.25" customHeight="1" x14ac:dyDescent="0.45">
      <c r="A324" s="132"/>
      <c r="B324" s="132"/>
      <c r="C324" s="133"/>
      <c r="D324" s="133"/>
      <c r="E324" s="133"/>
      <c r="F324" s="133"/>
      <c r="G324" s="134"/>
      <c r="H324" s="134"/>
      <c r="I324" s="134"/>
    </row>
    <row r="325" spans="1:9" ht="14.25" customHeight="1" x14ac:dyDescent="0.45">
      <c r="A325" s="132"/>
      <c r="B325" s="132"/>
      <c r="C325" s="133"/>
      <c r="D325" s="133"/>
      <c r="E325" s="133"/>
      <c r="F325" s="133"/>
      <c r="G325" s="134"/>
      <c r="H325" s="134"/>
      <c r="I325" s="134"/>
    </row>
    <row r="326" spans="1:9" ht="14.25" customHeight="1" x14ac:dyDescent="0.45">
      <c r="A326" s="132"/>
      <c r="B326" s="132"/>
      <c r="C326" s="133"/>
      <c r="D326" s="133"/>
      <c r="E326" s="133"/>
      <c r="F326" s="133"/>
      <c r="G326" s="134"/>
      <c r="H326" s="134"/>
      <c r="I326" s="134"/>
    </row>
    <row r="327" spans="1:9" ht="14.25" customHeight="1" x14ac:dyDescent="0.45">
      <c r="A327" s="132"/>
      <c r="B327" s="132"/>
      <c r="C327" s="133"/>
      <c r="D327" s="133"/>
      <c r="E327" s="133"/>
      <c r="F327" s="133"/>
      <c r="G327" s="134"/>
      <c r="H327" s="134"/>
      <c r="I327" s="134"/>
    </row>
    <row r="328" spans="1:9" ht="14.25" customHeight="1" x14ac:dyDescent="0.45">
      <c r="A328" s="132"/>
      <c r="B328" s="132"/>
      <c r="C328" s="133"/>
      <c r="D328" s="133"/>
      <c r="E328" s="133"/>
      <c r="F328" s="133"/>
      <c r="G328" s="134"/>
      <c r="H328" s="134"/>
      <c r="I328" s="134"/>
    </row>
    <row r="329" spans="1:9" ht="14.25" customHeight="1" x14ac:dyDescent="0.45">
      <c r="A329" s="132"/>
      <c r="B329" s="132"/>
      <c r="C329" s="133"/>
      <c r="D329" s="133"/>
      <c r="E329" s="133"/>
      <c r="F329" s="133"/>
      <c r="G329" s="134"/>
      <c r="H329" s="134"/>
      <c r="I329" s="134"/>
    </row>
    <row r="330" spans="1:9" ht="14.25" customHeight="1" x14ac:dyDescent="0.45">
      <c r="A330" s="132"/>
      <c r="B330" s="132"/>
      <c r="C330" s="133"/>
      <c r="D330" s="133"/>
      <c r="E330" s="133"/>
      <c r="F330" s="133"/>
      <c r="G330" s="134"/>
      <c r="H330" s="134"/>
      <c r="I330" s="134"/>
    </row>
    <row r="331" spans="1:9" ht="14.25" customHeight="1" x14ac:dyDescent="0.45">
      <c r="A331" s="132"/>
      <c r="B331" s="132"/>
      <c r="C331" s="133"/>
      <c r="D331" s="133"/>
      <c r="E331" s="133"/>
      <c r="F331" s="133"/>
      <c r="G331" s="134"/>
      <c r="H331" s="134"/>
      <c r="I331" s="134"/>
    </row>
    <row r="332" spans="1:9" ht="14.25" customHeight="1" x14ac:dyDescent="0.45">
      <c r="A332" s="132"/>
      <c r="B332" s="132"/>
      <c r="C332" s="133"/>
      <c r="D332" s="133"/>
      <c r="E332" s="133"/>
      <c r="F332" s="133"/>
      <c r="G332" s="134"/>
      <c r="H332" s="134"/>
      <c r="I332" s="134"/>
    </row>
    <row r="333" spans="1:9" ht="14.25" customHeight="1" x14ac:dyDescent="0.45">
      <c r="A333" s="132"/>
      <c r="B333" s="132"/>
      <c r="C333" s="133"/>
      <c r="D333" s="133"/>
      <c r="E333" s="133"/>
      <c r="F333" s="133"/>
      <c r="G333" s="134"/>
      <c r="H333" s="134"/>
      <c r="I333" s="134"/>
    </row>
    <row r="334" spans="1:9" ht="14.25" customHeight="1" x14ac:dyDescent="0.45">
      <c r="A334" s="132"/>
      <c r="B334" s="132"/>
      <c r="C334" s="133"/>
      <c r="D334" s="133"/>
      <c r="E334" s="133"/>
      <c r="F334" s="133"/>
      <c r="G334" s="134"/>
      <c r="H334" s="134"/>
      <c r="I334" s="134"/>
    </row>
    <row r="335" spans="1:9" ht="14.25" customHeight="1" x14ac:dyDescent="0.45">
      <c r="A335" s="132"/>
      <c r="B335" s="132"/>
      <c r="C335" s="133"/>
      <c r="D335" s="133"/>
      <c r="E335" s="133"/>
      <c r="F335" s="133"/>
      <c r="G335" s="134"/>
      <c r="H335" s="134"/>
      <c r="I335" s="134"/>
    </row>
    <row r="336" spans="1:9" ht="14.25" customHeight="1" x14ac:dyDescent="0.45">
      <c r="A336" s="132"/>
      <c r="B336" s="132"/>
      <c r="C336" s="133"/>
      <c r="D336" s="133"/>
      <c r="E336" s="133"/>
      <c r="F336" s="133"/>
      <c r="G336" s="134"/>
      <c r="H336" s="134"/>
      <c r="I336" s="134"/>
    </row>
    <row r="337" spans="1:9" ht="14.25" customHeight="1" x14ac:dyDescent="0.45">
      <c r="A337" s="132"/>
      <c r="B337" s="132"/>
      <c r="C337" s="133"/>
      <c r="D337" s="133"/>
      <c r="E337" s="133"/>
      <c r="F337" s="133"/>
      <c r="G337" s="134"/>
      <c r="H337" s="134"/>
      <c r="I337" s="134"/>
    </row>
    <row r="338" spans="1:9" ht="14.25" customHeight="1" x14ac:dyDescent="0.45">
      <c r="A338" s="132"/>
      <c r="B338" s="132"/>
      <c r="C338" s="133"/>
      <c r="D338" s="133"/>
      <c r="E338" s="133"/>
      <c r="F338" s="133"/>
      <c r="G338" s="134"/>
      <c r="H338" s="134"/>
      <c r="I338" s="134"/>
    </row>
    <row r="339" spans="1:9" ht="14.25" customHeight="1" x14ac:dyDescent="0.45">
      <c r="A339" s="132"/>
      <c r="B339" s="132"/>
      <c r="C339" s="133"/>
      <c r="D339" s="133"/>
      <c r="E339" s="133"/>
      <c r="F339" s="133"/>
      <c r="G339" s="134"/>
      <c r="H339" s="134"/>
      <c r="I339" s="134"/>
    </row>
    <row r="340" spans="1:9" ht="14.25" customHeight="1" x14ac:dyDescent="0.45">
      <c r="A340" s="132"/>
      <c r="B340" s="132"/>
      <c r="C340" s="133"/>
      <c r="D340" s="133"/>
      <c r="E340" s="133"/>
      <c r="F340" s="133"/>
      <c r="G340" s="134"/>
      <c r="H340" s="134"/>
      <c r="I340" s="134"/>
    </row>
    <row r="341" spans="1:9" ht="14.25" customHeight="1" x14ac:dyDescent="0.45">
      <c r="A341" s="132"/>
      <c r="B341" s="132"/>
      <c r="C341" s="133"/>
      <c r="D341" s="133"/>
      <c r="E341" s="133"/>
      <c r="F341" s="133"/>
      <c r="G341" s="134"/>
      <c r="H341" s="134"/>
      <c r="I341" s="134"/>
    </row>
    <row r="342" spans="1:9" ht="14.25" customHeight="1" x14ac:dyDescent="0.45">
      <c r="A342" s="132"/>
      <c r="B342" s="132"/>
      <c r="C342" s="133"/>
      <c r="D342" s="133"/>
      <c r="E342" s="133"/>
      <c r="F342" s="133"/>
      <c r="G342" s="134"/>
      <c r="H342" s="134"/>
      <c r="I342" s="134"/>
    </row>
    <row r="343" spans="1:9" ht="14.25" customHeight="1" x14ac:dyDescent="0.45">
      <c r="A343" s="132"/>
      <c r="B343" s="132"/>
      <c r="C343" s="133"/>
      <c r="D343" s="133"/>
      <c r="E343" s="133"/>
      <c r="F343" s="133"/>
      <c r="G343" s="134"/>
      <c r="H343" s="134"/>
      <c r="I343" s="134"/>
    </row>
    <row r="344" spans="1:9" ht="14.25" customHeight="1" x14ac:dyDescent="0.45">
      <c r="A344" s="132"/>
      <c r="B344" s="132"/>
      <c r="C344" s="133"/>
      <c r="D344" s="133"/>
      <c r="E344" s="133"/>
      <c r="F344" s="133"/>
      <c r="G344" s="134"/>
      <c r="H344" s="134"/>
      <c r="I344" s="134"/>
    </row>
    <row r="345" spans="1:9" ht="14.25" customHeight="1" x14ac:dyDescent="0.45">
      <c r="A345" s="132"/>
      <c r="B345" s="132"/>
      <c r="C345" s="133"/>
      <c r="D345" s="133"/>
      <c r="E345" s="133"/>
      <c r="F345" s="133"/>
      <c r="G345" s="134"/>
      <c r="H345" s="134"/>
      <c r="I345" s="134"/>
    </row>
    <row r="346" spans="1:9" ht="14.25" customHeight="1" x14ac:dyDescent="0.45">
      <c r="A346" s="132"/>
      <c r="B346" s="132"/>
      <c r="C346" s="133"/>
      <c r="D346" s="133"/>
      <c r="E346" s="133"/>
      <c r="F346" s="133"/>
      <c r="G346" s="134"/>
      <c r="H346" s="134"/>
      <c r="I346" s="134"/>
    </row>
    <row r="347" spans="1:9" ht="14.25" customHeight="1" x14ac:dyDescent="0.45">
      <c r="A347" s="132"/>
      <c r="B347" s="132"/>
      <c r="C347" s="133"/>
      <c r="D347" s="133"/>
      <c r="E347" s="133"/>
      <c r="F347" s="133"/>
      <c r="G347" s="134"/>
      <c r="H347" s="134"/>
      <c r="I347" s="134"/>
    </row>
    <row r="348" spans="1:9" ht="14.25" customHeight="1" x14ac:dyDescent="0.45">
      <c r="A348" s="132"/>
      <c r="B348" s="132"/>
      <c r="C348" s="133"/>
      <c r="D348" s="133"/>
      <c r="E348" s="133"/>
      <c r="F348" s="133"/>
      <c r="G348" s="134"/>
      <c r="H348" s="134"/>
      <c r="I348" s="134"/>
    </row>
    <row r="349" spans="1:9" ht="14.25" customHeight="1" x14ac:dyDescent="0.45">
      <c r="A349" s="132"/>
      <c r="B349" s="132"/>
      <c r="C349" s="133"/>
      <c r="D349" s="133"/>
      <c r="E349" s="133"/>
      <c r="F349" s="133"/>
      <c r="G349" s="134"/>
      <c r="H349" s="134"/>
      <c r="I349" s="134"/>
    </row>
    <row r="350" spans="1:9" ht="14.25" customHeight="1" x14ac:dyDescent="0.45">
      <c r="A350" s="132"/>
      <c r="B350" s="132"/>
      <c r="C350" s="133"/>
      <c r="D350" s="133"/>
      <c r="E350" s="133"/>
      <c r="F350" s="133"/>
      <c r="G350" s="134"/>
      <c r="H350" s="134"/>
      <c r="I350" s="134"/>
    </row>
    <row r="351" spans="1:9" ht="14.25" customHeight="1" x14ac:dyDescent="0.45">
      <c r="A351" s="132"/>
      <c r="B351" s="132"/>
      <c r="C351" s="133"/>
      <c r="D351" s="133"/>
      <c r="E351" s="133"/>
      <c r="F351" s="133"/>
      <c r="G351" s="134"/>
      <c r="H351" s="134"/>
      <c r="I351" s="134"/>
    </row>
    <row r="352" spans="1:9" ht="14.25" customHeight="1" x14ac:dyDescent="0.45">
      <c r="A352" s="132"/>
      <c r="B352" s="132"/>
      <c r="C352" s="133"/>
      <c r="D352" s="133"/>
      <c r="E352" s="133"/>
      <c r="F352" s="133"/>
      <c r="G352" s="134"/>
      <c r="H352" s="134"/>
      <c r="I352" s="134"/>
    </row>
    <row r="353" spans="1:9" ht="14.25" customHeight="1" x14ac:dyDescent="0.45">
      <c r="A353" s="132"/>
      <c r="B353" s="132"/>
      <c r="C353" s="133"/>
      <c r="D353" s="133"/>
      <c r="E353" s="133"/>
      <c r="F353" s="133"/>
      <c r="G353" s="134"/>
      <c r="H353" s="134"/>
      <c r="I353" s="134"/>
    </row>
    <row r="354" spans="1:9" ht="14.25" customHeight="1" x14ac:dyDescent="0.45">
      <c r="A354" s="132"/>
      <c r="B354" s="132"/>
      <c r="C354" s="133"/>
      <c r="D354" s="133"/>
      <c r="E354" s="133"/>
      <c r="F354" s="133"/>
      <c r="G354" s="134"/>
      <c r="H354" s="134"/>
      <c r="I354" s="134"/>
    </row>
    <row r="355" spans="1:9" ht="14.25" customHeight="1" x14ac:dyDescent="0.45">
      <c r="A355" s="132"/>
      <c r="B355" s="132"/>
      <c r="C355" s="133"/>
      <c r="D355" s="133"/>
      <c r="E355" s="133"/>
      <c r="F355" s="133"/>
      <c r="G355" s="134"/>
      <c r="H355" s="134"/>
      <c r="I355" s="134"/>
    </row>
    <row r="356" spans="1:9" ht="14.25" customHeight="1" x14ac:dyDescent="0.45">
      <c r="A356" s="132"/>
      <c r="B356" s="132"/>
      <c r="C356" s="133"/>
      <c r="D356" s="133"/>
      <c r="E356" s="133"/>
      <c r="F356" s="133"/>
      <c r="G356" s="134"/>
      <c r="H356" s="134"/>
      <c r="I356" s="134"/>
    </row>
    <row r="357" spans="1:9" ht="14.25" customHeight="1" x14ac:dyDescent="0.45">
      <c r="A357" s="132"/>
      <c r="B357" s="132"/>
      <c r="C357" s="133"/>
      <c r="D357" s="133"/>
      <c r="E357" s="133"/>
      <c r="F357" s="133"/>
      <c r="G357" s="134"/>
      <c r="H357" s="134"/>
      <c r="I357" s="134"/>
    </row>
    <row r="358" spans="1:9" ht="14.25" customHeight="1" x14ac:dyDescent="0.45">
      <c r="A358" s="132"/>
      <c r="B358" s="132"/>
      <c r="C358" s="133"/>
      <c r="D358" s="133"/>
      <c r="E358" s="133"/>
      <c r="F358" s="133"/>
      <c r="G358" s="134"/>
      <c r="H358" s="134"/>
      <c r="I358" s="134"/>
    </row>
    <row r="359" spans="1:9" ht="14.25" customHeight="1" x14ac:dyDescent="0.45">
      <c r="A359" s="132"/>
      <c r="B359" s="132"/>
      <c r="C359" s="133"/>
      <c r="D359" s="133"/>
      <c r="E359" s="133"/>
      <c r="F359" s="133"/>
      <c r="G359" s="134"/>
      <c r="H359" s="134"/>
      <c r="I359" s="134"/>
    </row>
    <row r="360" spans="1:9" ht="14.25" customHeight="1" x14ac:dyDescent="0.45">
      <c r="A360" s="132"/>
      <c r="B360" s="132"/>
      <c r="C360" s="133"/>
      <c r="D360" s="133"/>
      <c r="E360" s="133"/>
      <c r="F360" s="133"/>
      <c r="G360" s="134"/>
      <c r="H360" s="134"/>
      <c r="I360" s="134"/>
    </row>
    <row r="361" spans="1:9" ht="14.25" customHeight="1" x14ac:dyDescent="0.45">
      <c r="A361" s="132"/>
      <c r="B361" s="132"/>
      <c r="C361" s="133"/>
      <c r="D361" s="133"/>
      <c r="E361" s="133"/>
      <c r="F361" s="133"/>
      <c r="G361" s="134"/>
      <c r="H361" s="134"/>
      <c r="I361" s="134"/>
    </row>
    <row r="362" spans="1:9" ht="14.25" customHeight="1" x14ac:dyDescent="0.45">
      <c r="A362" s="132"/>
      <c r="B362" s="132"/>
      <c r="C362" s="133"/>
      <c r="D362" s="133"/>
      <c r="E362" s="133"/>
      <c r="F362" s="133"/>
      <c r="G362" s="134"/>
      <c r="H362" s="134"/>
      <c r="I362" s="134"/>
    </row>
    <row r="363" spans="1:9" ht="14.25" customHeight="1" x14ac:dyDescent="0.45">
      <c r="A363" s="132"/>
      <c r="B363" s="132"/>
      <c r="C363" s="133"/>
      <c r="D363" s="133"/>
      <c r="E363" s="133"/>
      <c r="F363" s="133"/>
      <c r="G363" s="134"/>
      <c r="H363" s="134"/>
      <c r="I363" s="134"/>
    </row>
    <row r="364" spans="1:9" ht="14.25" customHeight="1" x14ac:dyDescent="0.45">
      <c r="A364" s="132"/>
      <c r="B364" s="132"/>
      <c r="C364" s="133"/>
      <c r="D364" s="133"/>
      <c r="E364" s="133"/>
      <c r="F364" s="133"/>
      <c r="G364" s="134"/>
      <c r="H364" s="134"/>
      <c r="I364" s="134"/>
    </row>
    <row r="365" spans="1:9" ht="14.25" customHeight="1" x14ac:dyDescent="0.45">
      <c r="A365" s="132"/>
      <c r="B365" s="132"/>
      <c r="C365" s="133"/>
      <c r="D365" s="133"/>
      <c r="E365" s="133"/>
      <c r="F365" s="133"/>
      <c r="G365" s="134"/>
      <c r="H365" s="134"/>
      <c r="I365" s="134"/>
    </row>
    <row r="366" spans="1:9" ht="14.25" customHeight="1" x14ac:dyDescent="0.45">
      <c r="A366" s="132"/>
      <c r="B366" s="132"/>
      <c r="C366" s="133"/>
      <c r="D366" s="133"/>
      <c r="E366" s="133"/>
      <c r="F366" s="133"/>
      <c r="G366" s="134"/>
      <c r="H366" s="134"/>
      <c r="I366" s="134"/>
    </row>
    <row r="367" spans="1:9" ht="14.25" customHeight="1" x14ac:dyDescent="0.45">
      <c r="A367" s="132"/>
      <c r="B367" s="132"/>
      <c r="C367" s="133"/>
      <c r="D367" s="133"/>
      <c r="E367" s="133"/>
      <c r="F367" s="133"/>
      <c r="G367" s="134"/>
      <c r="H367" s="134"/>
      <c r="I367" s="134"/>
    </row>
    <row r="368" spans="1:9" ht="14.25" customHeight="1" x14ac:dyDescent="0.45">
      <c r="A368" s="132"/>
      <c r="B368" s="132"/>
      <c r="C368" s="133"/>
      <c r="D368" s="133"/>
      <c r="E368" s="133"/>
      <c r="F368" s="133"/>
      <c r="G368" s="134"/>
      <c r="H368" s="134"/>
      <c r="I368" s="134"/>
    </row>
    <row r="369" spans="1:9" ht="14.25" customHeight="1" x14ac:dyDescent="0.45">
      <c r="A369" s="132"/>
      <c r="B369" s="132"/>
      <c r="C369" s="133"/>
      <c r="D369" s="133"/>
      <c r="E369" s="133"/>
      <c r="F369" s="133"/>
      <c r="G369" s="134"/>
      <c r="H369" s="134"/>
      <c r="I369" s="134"/>
    </row>
    <row r="370" spans="1:9" ht="14.25" customHeight="1" x14ac:dyDescent="0.45">
      <c r="A370" s="132"/>
      <c r="B370" s="132"/>
      <c r="C370" s="133"/>
      <c r="D370" s="133"/>
      <c r="E370" s="133"/>
      <c r="F370" s="133"/>
      <c r="G370" s="134"/>
      <c r="H370" s="134"/>
      <c r="I370" s="134"/>
    </row>
    <row r="371" spans="1:9" ht="14.25" customHeight="1" x14ac:dyDescent="0.45">
      <c r="A371" s="132"/>
      <c r="B371" s="132"/>
      <c r="C371" s="133"/>
      <c r="D371" s="133"/>
      <c r="E371" s="133"/>
      <c r="F371" s="133"/>
      <c r="G371" s="134"/>
      <c r="H371" s="134"/>
      <c r="I371" s="134"/>
    </row>
    <row r="372" spans="1:9" ht="14.25" customHeight="1" x14ac:dyDescent="0.45">
      <c r="A372" s="132"/>
      <c r="B372" s="132"/>
      <c r="C372" s="133"/>
      <c r="D372" s="133"/>
      <c r="E372" s="133"/>
      <c r="F372" s="133"/>
      <c r="G372" s="134"/>
      <c r="H372" s="134"/>
      <c r="I372" s="134"/>
    </row>
    <row r="373" spans="1:9" ht="14.25" customHeight="1" x14ac:dyDescent="0.45">
      <c r="A373" s="132"/>
      <c r="B373" s="132"/>
      <c r="C373" s="133"/>
      <c r="D373" s="133"/>
      <c r="E373" s="133"/>
      <c r="F373" s="133"/>
      <c r="G373" s="134"/>
      <c r="H373" s="134"/>
      <c r="I373" s="134"/>
    </row>
    <row r="374" spans="1:9" ht="14.25" customHeight="1" x14ac:dyDescent="0.45">
      <c r="A374" s="132"/>
      <c r="B374" s="132"/>
      <c r="C374" s="133"/>
      <c r="D374" s="133"/>
      <c r="E374" s="133"/>
      <c r="F374" s="133"/>
      <c r="G374" s="134"/>
      <c r="H374" s="134"/>
      <c r="I374" s="134"/>
    </row>
    <row r="375" spans="1:9" ht="14.25" customHeight="1" x14ac:dyDescent="0.45">
      <c r="A375" s="132"/>
      <c r="B375" s="132"/>
      <c r="C375" s="133"/>
      <c r="D375" s="133"/>
      <c r="E375" s="133"/>
      <c r="F375" s="133"/>
      <c r="G375" s="134"/>
      <c r="H375" s="134"/>
      <c r="I375" s="134"/>
    </row>
    <row r="376" spans="1:9" ht="14.25" customHeight="1" x14ac:dyDescent="0.45">
      <c r="A376" s="132"/>
      <c r="B376" s="132"/>
      <c r="C376" s="133"/>
      <c r="D376" s="133"/>
      <c r="E376" s="133"/>
      <c r="F376" s="133"/>
      <c r="G376" s="134"/>
      <c r="H376" s="134"/>
      <c r="I376" s="134"/>
    </row>
    <row r="377" spans="1:9" ht="14.25" customHeight="1" x14ac:dyDescent="0.45">
      <c r="A377" s="132"/>
      <c r="B377" s="132"/>
      <c r="C377" s="133"/>
      <c r="D377" s="133"/>
      <c r="E377" s="133"/>
      <c r="F377" s="133"/>
      <c r="G377" s="134"/>
      <c r="H377" s="134"/>
      <c r="I377" s="134"/>
    </row>
    <row r="378" spans="1:9" ht="14.25" customHeight="1" x14ac:dyDescent="0.45">
      <c r="A378" s="132"/>
      <c r="B378" s="132"/>
      <c r="C378" s="133"/>
      <c r="D378" s="133"/>
      <c r="E378" s="133"/>
      <c r="F378" s="133"/>
      <c r="G378" s="134"/>
      <c r="H378" s="134"/>
      <c r="I378" s="134"/>
    </row>
    <row r="379" spans="1:9" ht="14.25" customHeight="1" x14ac:dyDescent="0.45">
      <c r="A379" s="132"/>
      <c r="B379" s="132"/>
      <c r="C379" s="133"/>
      <c r="D379" s="133"/>
      <c r="E379" s="133"/>
      <c r="F379" s="133"/>
      <c r="G379" s="134"/>
      <c r="H379" s="134"/>
      <c r="I379" s="134"/>
    </row>
    <row r="380" spans="1:9" ht="14.25" customHeight="1" x14ac:dyDescent="0.45">
      <c r="A380" s="132"/>
      <c r="B380" s="132"/>
      <c r="C380" s="133"/>
      <c r="D380" s="133"/>
      <c r="E380" s="133"/>
      <c r="F380" s="133"/>
      <c r="G380" s="134"/>
      <c r="H380" s="134"/>
      <c r="I380" s="134"/>
    </row>
    <row r="381" spans="1:9" ht="14.25" customHeight="1" x14ac:dyDescent="0.45">
      <c r="A381" s="132"/>
      <c r="B381" s="132"/>
      <c r="C381" s="133"/>
      <c r="D381" s="133"/>
      <c r="E381" s="133"/>
      <c r="F381" s="133"/>
      <c r="G381" s="134"/>
      <c r="H381" s="134"/>
      <c r="I381" s="134"/>
    </row>
    <row r="382" spans="1:9" ht="14.25" customHeight="1" x14ac:dyDescent="0.45">
      <c r="A382" s="132"/>
      <c r="B382" s="132"/>
      <c r="C382" s="133"/>
      <c r="D382" s="133"/>
      <c r="E382" s="133"/>
      <c r="F382" s="133"/>
      <c r="G382" s="134"/>
      <c r="H382" s="134"/>
      <c r="I382" s="134"/>
    </row>
    <row r="383" spans="1:9" ht="14.25" customHeight="1" x14ac:dyDescent="0.45">
      <c r="A383" s="132"/>
      <c r="B383" s="132"/>
      <c r="C383" s="133"/>
      <c r="D383" s="133"/>
      <c r="E383" s="133"/>
      <c r="F383" s="133"/>
      <c r="G383" s="134"/>
      <c r="H383" s="134"/>
      <c r="I383" s="134"/>
    </row>
    <row r="384" spans="1:9" ht="14.25" customHeight="1" x14ac:dyDescent="0.45">
      <c r="A384" s="132"/>
      <c r="B384" s="132"/>
      <c r="C384" s="133"/>
      <c r="D384" s="133"/>
      <c r="E384" s="133"/>
      <c r="F384" s="133"/>
      <c r="G384" s="134"/>
      <c r="H384" s="134"/>
      <c r="I384" s="134"/>
    </row>
    <row r="385" spans="1:9" ht="14.25" customHeight="1" x14ac:dyDescent="0.45">
      <c r="A385" s="132"/>
      <c r="B385" s="132"/>
      <c r="C385" s="133"/>
      <c r="D385" s="133"/>
      <c r="E385" s="133"/>
      <c r="F385" s="133"/>
      <c r="G385" s="134"/>
      <c r="H385" s="134"/>
      <c r="I385" s="134"/>
    </row>
    <row r="386" spans="1:9" ht="14.25" customHeight="1" x14ac:dyDescent="0.45">
      <c r="A386" s="132"/>
      <c r="B386" s="132"/>
      <c r="C386" s="133"/>
      <c r="D386" s="133"/>
      <c r="E386" s="133"/>
      <c r="F386" s="133"/>
      <c r="G386" s="134"/>
      <c r="H386" s="134"/>
      <c r="I386" s="134"/>
    </row>
    <row r="387" spans="1:9" ht="14.25" customHeight="1" x14ac:dyDescent="0.45">
      <c r="A387" s="132"/>
      <c r="B387" s="132"/>
      <c r="C387" s="133"/>
      <c r="D387" s="133"/>
      <c r="E387" s="133"/>
      <c r="F387" s="133"/>
      <c r="G387" s="134"/>
      <c r="H387" s="134"/>
      <c r="I387" s="134"/>
    </row>
    <row r="388" spans="1:9" ht="14.25" customHeight="1" x14ac:dyDescent="0.45">
      <c r="A388" s="132"/>
      <c r="B388" s="132"/>
      <c r="C388" s="133"/>
      <c r="D388" s="133"/>
      <c r="E388" s="133"/>
      <c r="F388" s="133"/>
      <c r="G388" s="134"/>
      <c r="H388" s="134"/>
      <c r="I388" s="134"/>
    </row>
    <row r="389" spans="1:9" ht="14.25" customHeight="1" x14ac:dyDescent="0.45">
      <c r="A389" s="132"/>
      <c r="B389" s="132"/>
      <c r="C389" s="133"/>
      <c r="D389" s="133"/>
      <c r="E389" s="133"/>
      <c r="F389" s="133"/>
      <c r="G389" s="134"/>
      <c r="H389" s="134"/>
      <c r="I389" s="134"/>
    </row>
    <row r="390" spans="1:9" ht="14.25" customHeight="1" x14ac:dyDescent="0.45">
      <c r="A390" s="132"/>
      <c r="B390" s="132"/>
      <c r="C390" s="133"/>
      <c r="D390" s="133"/>
      <c r="E390" s="133"/>
      <c r="F390" s="133"/>
      <c r="G390" s="134"/>
      <c r="H390" s="134"/>
      <c r="I390" s="134"/>
    </row>
    <row r="391" spans="1:9" ht="14.25" customHeight="1" x14ac:dyDescent="0.45">
      <c r="A391" s="132"/>
      <c r="B391" s="132"/>
      <c r="C391" s="133"/>
      <c r="D391" s="133"/>
      <c r="E391" s="133"/>
      <c r="F391" s="133"/>
      <c r="G391" s="134"/>
      <c r="H391" s="134"/>
      <c r="I391" s="134"/>
    </row>
    <row r="392" spans="1:9" ht="14.25" customHeight="1" x14ac:dyDescent="0.45">
      <c r="A392" s="132"/>
      <c r="B392" s="132"/>
      <c r="C392" s="133"/>
      <c r="D392" s="133"/>
      <c r="E392" s="133"/>
      <c r="F392" s="133"/>
      <c r="G392" s="134"/>
      <c r="H392" s="134"/>
      <c r="I392" s="134"/>
    </row>
    <row r="393" spans="1:9" ht="14.25" customHeight="1" x14ac:dyDescent="0.45">
      <c r="A393" s="132"/>
      <c r="B393" s="132"/>
      <c r="C393" s="133"/>
      <c r="D393" s="133"/>
      <c r="E393" s="133"/>
      <c r="F393" s="133"/>
      <c r="G393" s="134"/>
      <c r="H393" s="134"/>
      <c r="I393" s="134"/>
    </row>
    <row r="394" spans="1:9" ht="14.25" customHeight="1" x14ac:dyDescent="0.45">
      <c r="A394" s="132"/>
      <c r="B394" s="132"/>
      <c r="C394" s="133"/>
      <c r="D394" s="133"/>
      <c r="E394" s="133"/>
      <c r="F394" s="133"/>
      <c r="G394" s="134"/>
      <c r="H394" s="134"/>
      <c r="I394" s="134"/>
    </row>
    <row r="395" spans="1:9" ht="14.25" customHeight="1" x14ac:dyDescent="0.45">
      <c r="A395" s="132"/>
      <c r="B395" s="132"/>
      <c r="C395" s="133"/>
      <c r="D395" s="133"/>
      <c r="E395" s="133"/>
      <c r="F395" s="133"/>
      <c r="G395" s="134"/>
      <c r="H395" s="134"/>
      <c r="I395" s="134"/>
    </row>
    <row r="396" spans="1:9" ht="14.25" customHeight="1" x14ac:dyDescent="0.45">
      <c r="A396" s="132"/>
      <c r="B396" s="132"/>
      <c r="C396" s="133"/>
      <c r="D396" s="133"/>
      <c r="E396" s="133"/>
      <c r="F396" s="133"/>
      <c r="G396" s="134"/>
      <c r="H396" s="134"/>
      <c r="I396" s="134"/>
    </row>
    <row r="397" spans="1:9" ht="14.25" customHeight="1" x14ac:dyDescent="0.45">
      <c r="A397" s="132"/>
      <c r="B397" s="132"/>
      <c r="C397" s="133"/>
      <c r="D397" s="133"/>
      <c r="E397" s="133"/>
      <c r="F397" s="133"/>
      <c r="G397" s="134"/>
      <c r="H397" s="134"/>
      <c r="I397" s="134"/>
    </row>
    <row r="398" spans="1:9" ht="14.25" customHeight="1" x14ac:dyDescent="0.45">
      <c r="A398" s="132"/>
      <c r="B398" s="132"/>
      <c r="C398" s="133"/>
      <c r="D398" s="133"/>
      <c r="E398" s="133"/>
      <c r="F398" s="133"/>
      <c r="G398" s="134"/>
      <c r="H398" s="134"/>
      <c r="I398" s="134"/>
    </row>
    <row r="399" spans="1:9" ht="14.25" customHeight="1" x14ac:dyDescent="0.45">
      <c r="A399" s="132"/>
      <c r="B399" s="132"/>
      <c r="C399" s="133"/>
      <c r="D399" s="133"/>
      <c r="E399" s="133"/>
      <c r="F399" s="133"/>
      <c r="G399" s="134"/>
      <c r="H399" s="134"/>
      <c r="I399" s="134"/>
    </row>
    <row r="400" spans="1:9" ht="14.25" customHeight="1" x14ac:dyDescent="0.45">
      <c r="A400" s="132"/>
      <c r="B400" s="132"/>
      <c r="C400" s="133"/>
      <c r="D400" s="133"/>
      <c r="E400" s="133"/>
      <c r="F400" s="133"/>
      <c r="G400" s="134"/>
      <c r="H400" s="134"/>
      <c r="I400" s="134"/>
    </row>
    <row r="401" spans="1:9" ht="14.25" customHeight="1" x14ac:dyDescent="0.45">
      <c r="A401" s="132"/>
      <c r="B401" s="132"/>
      <c r="C401" s="133"/>
      <c r="D401" s="133"/>
      <c r="E401" s="133"/>
      <c r="F401" s="133"/>
      <c r="G401" s="134"/>
      <c r="H401" s="134"/>
      <c r="I401" s="134"/>
    </row>
    <row r="402" spans="1:9" ht="14.25" customHeight="1" x14ac:dyDescent="0.45">
      <c r="A402" s="132"/>
      <c r="B402" s="132"/>
      <c r="C402" s="133"/>
      <c r="D402" s="133"/>
      <c r="E402" s="133"/>
      <c r="F402" s="133"/>
      <c r="G402" s="134"/>
      <c r="H402" s="134"/>
      <c r="I402" s="134"/>
    </row>
    <row r="403" spans="1:9" ht="14.25" customHeight="1" x14ac:dyDescent="0.45">
      <c r="A403" s="132"/>
      <c r="B403" s="132"/>
      <c r="C403" s="133"/>
      <c r="D403" s="133"/>
      <c r="E403" s="133"/>
      <c r="F403" s="133"/>
      <c r="G403" s="134"/>
      <c r="H403" s="134"/>
      <c r="I403" s="134"/>
    </row>
    <row r="404" spans="1:9" ht="14.25" customHeight="1" x14ac:dyDescent="0.45">
      <c r="A404" s="132"/>
      <c r="B404" s="132"/>
      <c r="C404" s="133"/>
      <c r="D404" s="133"/>
      <c r="E404" s="133"/>
      <c r="F404" s="133"/>
      <c r="G404" s="134"/>
      <c r="H404" s="134"/>
      <c r="I404" s="134"/>
    </row>
    <row r="405" spans="1:9" ht="14.25" customHeight="1" x14ac:dyDescent="0.45">
      <c r="A405" s="132"/>
      <c r="B405" s="132"/>
      <c r="C405" s="133"/>
      <c r="D405" s="133"/>
      <c r="E405" s="133"/>
      <c r="F405" s="133"/>
      <c r="G405" s="134"/>
      <c r="H405" s="134"/>
      <c r="I405" s="134"/>
    </row>
    <row r="406" spans="1:9" ht="14.25" customHeight="1" x14ac:dyDescent="0.45">
      <c r="A406" s="132"/>
      <c r="B406" s="132"/>
      <c r="C406" s="133"/>
      <c r="D406" s="133"/>
      <c r="E406" s="133"/>
      <c r="F406" s="133"/>
      <c r="G406" s="134"/>
      <c r="H406" s="134"/>
      <c r="I406" s="134"/>
    </row>
    <row r="407" spans="1:9" ht="14.25" customHeight="1" x14ac:dyDescent="0.45">
      <c r="A407" s="132"/>
      <c r="B407" s="132"/>
      <c r="C407" s="133"/>
      <c r="D407" s="133"/>
      <c r="E407" s="133"/>
      <c r="F407" s="133"/>
      <c r="G407" s="134"/>
      <c r="H407" s="134"/>
      <c r="I407" s="134"/>
    </row>
    <row r="408" spans="1:9" ht="14.25" customHeight="1" x14ac:dyDescent="0.45">
      <c r="A408" s="132"/>
      <c r="B408" s="132"/>
      <c r="C408" s="133"/>
      <c r="D408" s="133"/>
      <c r="E408" s="133"/>
      <c r="F408" s="133"/>
      <c r="G408" s="134"/>
      <c r="H408" s="134"/>
      <c r="I408" s="134"/>
    </row>
    <row r="409" spans="1:9" ht="14.25" customHeight="1" x14ac:dyDescent="0.45">
      <c r="A409" s="132"/>
      <c r="B409" s="132"/>
      <c r="C409" s="133"/>
      <c r="D409" s="133"/>
      <c r="E409" s="133"/>
      <c r="F409" s="133"/>
      <c r="G409" s="134"/>
      <c r="H409" s="134"/>
      <c r="I409" s="134"/>
    </row>
    <row r="410" spans="1:9" ht="14.25" customHeight="1" x14ac:dyDescent="0.45">
      <c r="A410" s="132"/>
      <c r="B410" s="132"/>
      <c r="C410" s="133"/>
      <c r="D410" s="133"/>
      <c r="E410" s="133"/>
      <c r="F410" s="133"/>
      <c r="G410" s="134"/>
      <c r="H410" s="134"/>
      <c r="I410" s="134"/>
    </row>
    <row r="411" spans="1:9" ht="14.25" customHeight="1" x14ac:dyDescent="0.45">
      <c r="A411" s="132"/>
      <c r="B411" s="132"/>
      <c r="C411" s="133"/>
      <c r="D411" s="133"/>
      <c r="E411" s="133"/>
      <c r="F411" s="133"/>
      <c r="G411" s="134"/>
      <c r="H411" s="134"/>
      <c r="I411" s="134"/>
    </row>
    <row r="412" spans="1:9" ht="14.25" customHeight="1" x14ac:dyDescent="0.45">
      <c r="A412" s="132"/>
      <c r="B412" s="132"/>
      <c r="C412" s="133"/>
      <c r="D412" s="133"/>
      <c r="E412" s="133"/>
      <c r="F412" s="133"/>
      <c r="G412" s="134"/>
      <c r="H412" s="134"/>
      <c r="I412" s="134"/>
    </row>
    <row r="413" spans="1:9" ht="14.25" customHeight="1" x14ac:dyDescent="0.45">
      <c r="A413" s="132"/>
      <c r="B413" s="132"/>
      <c r="C413" s="133"/>
      <c r="D413" s="133"/>
      <c r="E413" s="133"/>
      <c r="F413" s="133"/>
      <c r="G413" s="134"/>
      <c r="H413" s="134"/>
      <c r="I413" s="134"/>
    </row>
    <row r="414" spans="1:9" ht="14.25" customHeight="1" x14ac:dyDescent="0.45">
      <c r="A414" s="132"/>
      <c r="B414" s="132"/>
      <c r="C414" s="133"/>
      <c r="D414" s="133"/>
      <c r="E414" s="133"/>
      <c r="F414" s="133"/>
      <c r="G414" s="134"/>
      <c r="H414" s="134"/>
      <c r="I414" s="134"/>
    </row>
    <row r="415" spans="1:9" ht="14.25" customHeight="1" x14ac:dyDescent="0.45">
      <c r="A415" s="132"/>
      <c r="B415" s="132"/>
      <c r="C415" s="133"/>
      <c r="D415" s="133"/>
      <c r="E415" s="133"/>
      <c r="F415" s="133"/>
      <c r="G415" s="134"/>
      <c r="H415" s="134"/>
      <c r="I415" s="134"/>
    </row>
    <row r="416" spans="1:9" ht="14.25" customHeight="1" x14ac:dyDescent="0.45">
      <c r="A416" s="132"/>
      <c r="B416" s="132"/>
      <c r="C416" s="133"/>
      <c r="D416" s="133"/>
      <c r="E416" s="133"/>
      <c r="F416" s="133"/>
      <c r="G416" s="134"/>
      <c r="H416" s="134"/>
      <c r="I416" s="134"/>
    </row>
    <row r="417" spans="1:9" ht="14.25" customHeight="1" x14ac:dyDescent="0.45">
      <c r="A417" s="132"/>
      <c r="B417" s="132"/>
      <c r="C417" s="133"/>
      <c r="D417" s="133"/>
      <c r="E417" s="133"/>
      <c r="F417" s="133"/>
      <c r="G417" s="134"/>
      <c r="H417" s="134"/>
      <c r="I417" s="134"/>
    </row>
    <row r="418" spans="1:9" ht="14.25" customHeight="1" x14ac:dyDescent="0.45">
      <c r="A418" s="132"/>
      <c r="B418" s="132"/>
      <c r="C418" s="133"/>
      <c r="D418" s="133"/>
      <c r="E418" s="133"/>
      <c r="F418" s="133"/>
      <c r="G418" s="134"/>
      <c r="H418" s="134"/>
      <c r="I418" s="134"/>
    </row>
    <row r="419" spans="1:9" ht="14.25" customHeight="1" x14ac:dyDescent="0.45">
      <c r="A419" s="132"/>
      <c r="B419" s="132"/>
      <c r="C419" s="133"/>
      <c r="D419" s="133"/>
      <c r="E419" s="133"/>
      <c r="F419" s="133"/>
      <c r="G419" s="134"/>
      <c r="H419" s="134"/>
      <c r="I419" s="134"/>
    </row>
    <row r="420" spans="1:9" ht="14.25" customHeight="1" x14ac:dyDescent="0.45">
      <c r="A420" s="132"/>
      <c r="B420" s="132"/>
      <c r="C420" s="133"/>
      <c r="D420" s="133"/>
      <c r="E420" s="133"/>
      <c r="F420" s="133"/>
      <c r="G420" s="134"/>
      <c r="H420" s="134"/>
      <c r="I420" s="134"/>
    </row>
    <row r="421" spans="1:9" ht="14.25" customHeight="1" x14ac:dyDescent="0.45">
      <c r="A421" s="132"/>
      <c r="B421" s="132"/>
      <c r="C421" s="133"/>
      <c r="D421" s="133"/>
      <c r="E421" s="133"/>
      <c r="F421" s="133"/>
      <c r="G421" s="134"/>
      <c r="H421" s="134"/>
      <c r="I421" s="134"/>
    </row>
    <row r="422" spans="1:9" ht="14.25" customHeight="1" x14ac:dyDescent="0.45">
      <c r="A422" s="132"/>
      <c r="B422" s="132"/>
      <c r="C422" s="133"/>
      <c r="D422" s="133"/>
      <c r="E422" s="133"/>
      <c r="F422" s="133"/>
      <c r="G422" s="134"/>
      <c r="H422" s="134"/>
      <c r="I422" s="134"/>
    </row>
    <row r="423" spans="1:9" ht="14.25" customHeight="1" x14ac:dyDescent="0.45">
      <c r="A423" s="132"/>
      <c r="B423" s="132"/>
      <c r="C423" s="133"/>
      <c r="D423" s="133"/>
      <c r="E423" s="133"/>
      <c r="F423" s="133"/>
      <c r="G423" s="134"/>
      <c r="H423" s="134"/>
      <c r="I423" s="134"/>
    </row>
    <row r="424" spans="1:9" ht="14.25" customHeight="1" x14ac:dyDescent="0.45">
      <c r="A424" s="132"/>
      <c r="B424" s="132"/>
      <c r="C424" s="133"/>
      <c r="D424" s="133"/>
      <c r="E424" s="133"/>
      <c r="F424" s="133"/>
      <c r="G424" s="134"/>
      <c r="H424" s="134"/>
      <c r="I424" s="134"/>
    </row>
    <row r="425" spans="1:9" ht="14.25" customHeight="1" x14ac:dyDescent="0.45">
      <c r="A425" s="132"/>
      <c r="B425" s="132"/>
      <c r="C425" s="133"/>
      <c r="D425" s="133"/>
      <c r="E425" s="133"/>
      <c r="F425" s="133"/>
      <c r="G425" s="134"/>
      <c r="H425" s="134"/>
      <c r="I425" s="134"/>
    </row>
    <row r="426" spans="1:9" ht="14.25" customHeight="1" x14ac:dyDescent="0.45">
      <c r="A426" s="132"/>
      <c r="B426" s="132"/>
      <c r="C426" s="133"/>
      <c r="D426" s="133"/>
      <c r="E426" s="133"/>
      <c r="F426" s="133"/>
      <c r="G426" s="134"/>
      <c r="H426" s="134"/>
      <c r="I426" s="134"/>
    </row>
    <row r="427" spans="1:9" ht="14.25" customHeight="1" x14ac:dyDescent="0.45">
      <c r="A427" s="132"/>
      <c r="B427" s="132"/>
      <c r="C427" s="133"/>
      <c r="D427" s="133"/>
      <c r="E427" s="133"/>
      <c r="F427" s="133"/>
      <c r="G427" s="134"/>
      <c r="H427" s="134"/>
      <c r="I427" s="134"/>
    </row>
    <row r="428" spans="1:9" ht="14.25" customHeight="1" x14ac:dyDescent="0.45">
      <c r="A428" s="132"/>
      <c r="B428" s="132"/>
      <c r="C428" s="133"/>
      <c r="D428" s="133"/>
      <c r="E428" s="133"/>
      <c r="F428" s="133"/>
      <c r="G428" s="134"/>
      <c r="H428" s="134"/>
      <c r="I428" s="134"/>
    </row>
    <row r="429" spans="1:9" ht="14.25" customHeight="1" x14ac:dyDescent="0.45">
      <c r="A429" s="132"/>
      <c r="B429" s="132"/>
      <c r="C429" s="133"/>
      <c r="D429" s="133"/>
      <c r="E429" s="133"/>
      <c r="F429" s="133"/>
      <c r="G429" s="134"/>
      <c r="H429" s="134"/>
      <c r="I429" s="134"/>
    </row>
    <row r="430" spans="1:9" ht="14.25" customHeight="1" x14ac:dyDescent="0.45">
      <c r="A430" s="132"/>
      <c r="B430" s="132"/>
      <c r="C430" s="133"/>
      <c r="D430" s="133"/>
      <c r="E430" s="133"/>
      <c r="F430" s="133"/>
      <c r="G430" s="134"/>
      <c r="H430" s="134"/>
      <c r="I430" s="134"/>
    </row>
    <row r="431" spans="1:9" ht="14.25" customHeight="1" x14ac:dyDescent="0.45">
      <c r="A431" s="132"/>
      <c r="B431" s="132"/>
      <c r="C431" s="133"/>
      <c r="D431" s="133"/>
      <c r="E431" s="133"/>
      <c r="F431" s="133"/>
      <c r="G431" s="134"/>
      <c r="H431" s="134"/>
      <c r="I431" s="134"/>
    </row>
    <row r="432" spans="1:9" ht="14.25" customHeight="1" x14ac:dyDescent="0.45">
      <c r="A432" s="132"/>
      <c r="B432" s="132"/>
      <c r="C432" s="133"/>
      <c r="D432" s="133"/>
      <c r="E432" s="133"/>
      <c r="F432" s="133"/>
      <c r="G432" s="134"/>
      <c r="H432" s="134"/>
      <c r="I432" s="134"/>
    </row>
    <row r="433" spans="1:9" ht="14.25" customHeight="1" x14ac:dyDescent="0.45">
      <c r="A433" s="132"/>
      <c r="B433" s="132"/>
      <c r="C433" s="133"/>
      <c r="D433" s="133"/>
      <c r="E433" s="133"/>
      <c r="F433" s="133"/>
      <c r="G433" s="134"/>
      <c r="H433" s="134"/>
      <c r="I433" s="134"/>
    </row>
    <row r="434" spans="1:9" ht="14.25" customHeight="1" x14ac:dyDescent="0.45">
      <c r="A434" s="132"/>
      <c r="B434" s="132"/>
      <c r="C434" s="133"/>
      <c r="D434" s="133"/>
      <c r="E434" s="133"/>
      <c r="F434" s="133"/>
      <c r="G434" s="134"/>
      <c r="H434" s="134"/>
      <c r="I434" s="134"/>
    </row>
    <row r="435" spans="1:9" ht="14.25" customHeight="1" x14ac:dyDescent="0.45">
      <c r="A435" s="132"/>
      <c r="B435" s="132"/>
      <c r="C435" s="133"/>
      <c r="D435" s="133"/>
      <c r="E435" s="133"/>
      <c r="F435" s="133"/>
      <c r="G435" s="134"/>
      <c r="H435" s="134"/>
      <c r="I435" s="134"/>
    </row>
    <row r="436" spans="1:9" ht="14.25" customHeight="1" x14ac:dyDescent="0.45">
      <c r="A436" s="132"/>
      <c r="B436" s="132"/>
      <c r="C436" s="133"/>
      <c r="D436" s="133"/>
      <c r="E436" s="133"/>
      <c r="F436" s="133"/>
      <c r="G436" s="134"/>
      <c r="H436" s="134"/>
      <c r="I436" s="134"/>
    </row>
    <row r="437" spans="1:9" ht="14.25" customHeight="1" x14ac:dyDescent="0.45">
      <c r="A437" s="132"/>
      <c r="B437" s="132"/>
      <c r="C437" s="133"/>
      <c r="D437" s="133"/>
      <c r="E437" s="133"/>
      <c r="F437" s="133"/>
      <c r="G437" s="134"/>
      <c r="H437" s="134"/>
      <c r="I437" s="134"/>
    </row>
    <row r="438" spans="1:9" ht="14.25" customHeight="1" x14ac:dyDescent="0.45">
      <c r="A438" s="132"/>
      <c r="B438" s="132"/>
      <c r="C438" s="133"/>
      <c r="D438" s="133"/>
      <c r="E438" s="133"/>
      <c r="F438" s="133"/>
      <c r="G438" s="134"/>
      <c r="H438" s="134"/>
      <c r="I438" s="134"/>
    </row>
    <row r="439" spans="1:9" ht="14.25" customHeight="1" x14ac:dyDescent="0.45">
      <c r="A439" s="132"/>
      <c r="B439" s="132"/>
      <c r="C439" s="133"/>
      <c r="D439" s="133"/>
      <c r="E439" s="133"/>
      <c r="F439" s="133"/>
      <c r="G439" s="134"/>
      <c r="H439" s="134"/>
      <c r="I439" s="134"/>
    </row>
    <row r="440" spans="1:9" ht="14.25" customHeight="1" x14ac:dyDescent="0.45">
      <c r="A440" s="132"/>
      <c r="B440" s="132"/>
      <c r="C440" s="133"/>
      <c r="D440" s="133"/>
      <c r="E440" s="133"/>
      <c r="F440" s="133"/>
      <c r="G440" s="134"/>
      <c r="H440" s="134"/>
      <c r="I440" s="134"/>
    </row>
    <row r="441" spans="1:9" ht="14.25" customHeight="1" x14ac:dyDescent="0.45">
      <c r="A441" s="132"/>
      <c r="B441" s="132"/>
      <c r="C441" s="133"/>
      <c r="D441" s="133"/>
      <c r="E441" s="133"/>
      <c r="F441" s="133"/>
      <c r="G441" s="134"/>
      <c r="H441" s="134"/>
      <c r="I441" s="134"/>
    </row>
    <row r="442" spans="1:9" ht="14.25" customHeight="1" x14ac:dyDescent="0.45">
      <c r="A442" s="132"/>
      <c r="B442" s="132"/>
      <c r="C442" s="133"/>
      <c r="D442" s="133"/>
      <c r="E442" s="133"/>
      <c r="F442" s="133"/>
      <c r="G442" s="134"/>
      <c r="H442" s="134"/>
      <c r="I442" s="134"/>
    </row>
    <row r="443" spans="1:9" ht="14.25" customHeight="1" x14ac:dyDescent="0.45">
      <c r="A443" s="132"/>
      <c r="B443" s="132"/>
      <c r="C443" s="133"/>
      <c r="D443" s="133"/>
      <c r="E443" s="133"/>
      <c r="F443" s="133"/>
      <c r="G443" s="134"/>
      <c r="H443" s="134"/>
      <c r="I443" s="134"/>
    </row>
    <row r="444" spans="1:9" ht="14.25" customHeight="1" x14ac:dyDescent="0.45">
      <c r="A444" s="132"/>
      <c r="B444" s="132"/>
      <c r="C444" s="133"/>
      <c r="D444" s="133"/>
      <c r="E444" s="133"/>
      <c r="F444" s="133"/>
      <c r="G444" s="134"/>
      <c r="H444" s="134"/>
      <c r="I444" s="134"/>
    </row>
    <row r="445" spans="1:9" ht="14.25" customHeight="1" x14ac:dyDescent="0.45">
      <c r="A445" s="132"/>
      <c r="B445" s="132"/>
      <c r="C445" s="133"/>
      <c r="D445" s="133"/>
      <c r="E445" s="133"/>
      <c r="F445" s="133"/>
      <c r="G445" s="134"/>
      <c r="H445" s="134"/>
      <c r="I445" s="134"/>
    </row>
    <row r="446" spans="1:9" ht="14.25" customHeight="1" x14ac:dyDescent="0.45">
      <c r="A446" s="132"/>
      <c r="B446" s="132"/>
      <c r="C446" s="133"/>
      <c r="D446" s="133"/>
      <c r="E446" s="133"/>
      <c r="F446" s="133"/>
      <c r="G446" s="134"/>
      <c r="H446" s="134"/>
      <c r="I446" s="134"/>
    </row>
    <row r="447" spans="1:9" ht="14.25" customHeight="1" x14ac:dyDescent="0.45">
      <c r="A447" s="132"/>
      <c r="B447" s="132"/>
      <c r="C447" s="133"/>
      <c r="D447" s="133"/>
      <c r="E447" s="133"/>
      <c r="F447" s="133"/>
      <c r="G447" s="134"/>
      <c r="H447" s="134"/>
      <c r="I447" s="134"/>
    </row>
    <row r="448" spans="1:9" ht="14.25" customHeight="1" x14ac:dyDescent="0.45">
      <c r="A448" s="132"/>
      <c r="B448" s="132"/>
      <c r="C448" s="133"/>
      <c r="D448" s="133"/>
      <c r="E448" s="133"/>
      <c r="F448" s="133"/>
      <c r="G448" s="134"/>
      <c r="H448" s="134"/>
      <c r="I448" s="134"/>
    </row>
    <row r="449" spans="1:9" ht="14.25" customHeight="1" x14ac:dyDescent="0.45">
      <c r="A449" s="132"/>
      <c r="B449" s="132"/>
      <c r="C449" s="133"/>
      <c r="D449" s="133"/>
      <c r="E449" s="133"/>
      <c r="F449" s="133"/>
      <c r="G449" s="134"/>
      <c r="H449" s="134"/>
      <c r="I449" s="134"/>
    </row>
    <row r="450" spans="1:9" ht="14.25" customHeight="1" x14ac:dyDescent="0.45">
      <c r="A450" s="132"/>
      <c r="B450" s="132"/>
      <c r="C450" s="133"/>
      <c r="D450" s="133"/>
      <c r="E450" s="133"/>
      <c r="F450" s="133"/>
      <c r="G450" s="134"/>
      <c r="H450" s="134"/>
      <c r="I450" s="134"/>
    </row>
    <row r="451" spans="1:9" ht="14.25" customHeight="1" x14ac:dyDescent="0.45">
      <c r="A451" s="132"/>
      <c r="B451" s="132"/>
      <c r="C451" s="133"/>
      <c r="D451" s="133"/>
      <c r="E451" s="133"/>
      <c r="F451" s="133"/>
      <c r="G451" s="134"/>
      <c r="H451" s="134"/>
      <c r="I451" s="134"/>
    </row>
    <row r="452" spans="1:9" ht="14.25" customHeight="1" x14ac:dyDescent="0.45">
      <c r="A452" s="132"/>
      <c r="B452" s="132"/>
      <c r="C452" s="133"/>
      <c r="D452" s="133"/>
      <c r="E452" s="133"/>
      <c r="F452" s="133"/>
      <c r="G452" s="134"/>
      <c r="H452" s="134"/>
      <c r="I452" s="134"/>
    </row>
    <row r="453" spans="1:9" ht="14.25" customHeight="1" x14ac:dyDescent="0.45">
      <c r="A453" s="132"/>
      <c r="B453" s="132"/>
      <c r="C453" s="133"/>
      <c r="D453" s="133"/>
      <c r="E453" s="133"/>
      <c r="F453" s="133"/>
      <c r="G453" s="134"/>
      <c r="H453" s="134"/>
      <c r="I453" s="134"/>
    </row>
    <row r="454" spans="1:9" ht="14.25" customHeight="1" x14ac:dyDescent="0.45">
      <c r="A454" s="132"/>
      <c r="B454" s="132"/>
      <c r="C454" s="133"/>
      <c r="D454" s="133"/>
      <c r="E454" s="133"/>
      <c r="F454" s="133"/>
      <c r="G454" s="134"/>
      <c r="H454" s="134"/>
      <c r="I454" s="134"/>
    </row>
    <row r="455" spans="1:9" ht="14.25" customHeight="1" x14ac:dyDescent="0.45">
      <c r="A455" s="132"/>
      <c r="B455" s="132"/>
      <c r="C455" s="133"/>
      <c r="D455" s="133"/>
      <c r="E455" s="133"/>
      <c r="F455" s="133"/>
      <c r="G455" s="134"/>
      <c r="H455" s="134"/>
      <c r="I455" s="134"/>
    </row>
    <row r="456" spans="1:9" ht="14.25" customHeight="1" x14ac:dyDescent="0.45">
      <c r="A456" s="132"/>
      <c r="B456" s="132"/>
      <c r="C456" s="133"/>
      <c r="D456" s="133"/>
      <c r="E456" s="133"/>
      <c r="F456" s="133"/>
      <c r="G456" s="134"/>
      <c r="H456" s="134"/>
      <c r="I456" s="134"/>
    </row>
    <row r="457" spans="1:9" ht="14.25" customHeight="1" x14ac:dyDescent="0.45">
      <c r="A457" s="132"/>
      <c r="B457" s="132"/>
      <c r="C457" s="133"/>
      <c r="D457" s="133"/>
      <c r="E457" s="133"/>
      <c r="F457" s="133"/>
      <c r="G457" s="134"/>
      <c r="H457" s="134"/>
      <c r="I457" s="134"/>
    </row>
    <row r="458" spans="1:9" ht="14.25" customHeight="1" x14ac:dyDescent="0.45">
      <c r="A458" s="132"/>
      <c r="B458" s="132"/>
      <c r="C458" s="133"/>
      <c r="D458" s="133"/>
      <c r="E458" s="133"/>
      <c r="F458" s="133"/>
      <c r="G458" s="134"/>
      <c r="H458" s="134"/>
      <c r="I458" s="134"/>
    </row>
    <row r="459" spans="1:9" ht="14.25" customHeight="1" x14ac:dyDescent="0.45">
      <c r="A459" s="132"/>
      <c r="B459" s="132"/>
      <c r="C459" s="133"/>
      <c r="D459" s="133"/>
      <c r="E459" s="133"/>
      <c r="F459" s="133"/>
      <c r="G459" s="134"/>
      <c r="H459" s="134"/>
      <c r="I459" s="134"/>
    </row>
    <row r="460" spans="1:9" ht="14.25" customHeight="1" x14ac:dyDescent="0.45">
      <c r="A460" s="132"/>
      <c r="B460" s="132"/>
      <c r="C460" s="133"/>
      <c r="D460" s="133"/>
      <c r="E460" s="133"/>
      <c r="F460" s="133"/>
      <c r="G460" s="134"/>
      <c r="H460" s="134"/>
      <c r="I460" s="134"/>
    </row>
    <row r="461" spans="1:9" ht="14.25" customHeight="1" x14ac:dyDescent="0.45">
      <c r="A461" s="132"/>
      <c r="B461" s="132"/>
      <c r="C461" s="133"/>
      <c r="D461" s="133"/>
      <c r="E461" s="133"/>
      <c r="F461" s="133"/>
      <c r="G461" s="134"/>
      <c r="H461" s="134"/>
      <c r="I461" s="134"/>
    </row>
    <row r="462" spans="1:9" ht="14.25" customHeight="1" x14ac:dyDescent="0.45">
      <c r="A462" s="132"/>
      <c r="B462" s="132"/>
      <c r="C462" s="133"/>
      <c r="D462" s="133"/>
      <c r="E462" s="133"/>
      <c r="F462" s="133"/>
      <c r="G462" s="134"/>
      <c r="H462" s="134"/>
      <c r="I462" s="134"/>
    </row>
    <row r="463" spans="1:9" ht="14.25" customHeight="1" x14ac:dyDescent="0.45">
      <c r="A463" s="132"/>
      <c r="B463" s="132"/>
      <c r="C463" s="133"/>
      <c r="D463" s="133"/>
      <c r="E463" s="133"/>
      <c r="F463" s="133"/>
      <c r="G463" s="134"/>
      <c r="H463" s="134"/>
      <c r="I463" s="134"/>
    </row>
    <row r="464" spans="1:9" ht="14.25" customHeight="1" x14ac:dyDescent="0.45">
      <c r="A464" s="132"/>
      <c r="B464" s="132"/>
      <c r="C464" s="133"/>
      <c r="D464" s="133"/>
      <c r="E464" s="133"/>
      <c r="F464" s="133"/>
      <c r="G464" s="134"/>
      <c r="H464" s="134"/>
      <c r="I464" s="134"/>
    </row>
    <row r="465" spans="1:9" ht="14.25" customHeight="1" x14ac:dyDescent="0.45">
      <c r="A465" s="132"/>
      <c r="B465" s="132"/>
      <c r="C465" s="133"/>
      <c r="D465" s="133"/>
      <c r="E465" s="133"/>
      <c r="F465" s="133"/>
      <c r="G465" s="134"/>
      <c r="H465" s="134"/>
      <c r="I465" s="134"/>
    </row>
    <row r="466" spans="1:9" ht="14.25" customHeight="1" x14ac:dyDescent="0.45">
      <c r="A466" s="132"/>
      <c r="B466" s="132"/>
      <c r="C466" s="133"/>
      <c r="D466" s="133"/>
      <c r="E466" s="133"/>
      <c r="F466" s="133"/>
      <c r="G466" s="134"/>
      <c r="H466" s="134"/>
      <c r="I466" s="134"/>
    </row>
    <row r="467" spans="1:9" ht="14.25" customHeight="1" x14ac:dyDescent="0.45">
      <c r="A467" s="132"/>
      <c r="B467" s="132"/>
      <c r="C467" s="133"/>
      <c r="D467" s="133"/>
      <c r="E467" s="133"/>
      <c r="F467" s="133"/>
      <c r="G467" s="134"/>
      <c r="H467" s="134"/>
      <c r="I467" s="134"/>
    </row>
    <row r="468" spans="1:9" ht="14.25" customHeight="1" x14ac:dyDescent="0.45">
      <c r="A468" s="132"/>
      <c r="B468" s="132"/>
      <c r="C468" s="133"/>
      <c r="D468" s="133"/>
      <c r="E468" s="133"/>
      <c r="F468" s="133"/>
      <c r="G468" s="134"/>
      <c r="H468" s="134"/>
      <c r="I468" s="134"/>
    </row>
    <row r="469" spans="1:9" ht="14.25" customHeight="1" x14ac:dyDescent="0.45">
      <c r="A469" s="132"/>
      <c r="B469" s="132"/>
      <c r="C469" s="133"/>
      <c r="D469" s="133"/>
      <c r="E469" s="133"/>
      <c r="F469" s="133"/>
      <c r="G469" s="134"/>
      <c r="H469" s="134"/>
      <c r="I469" s="134"/>
    </row>
    <row r="470" spans="1:9" ht="14.25" customHeight="1" x14ac:dyDescent="0.45">
      <c r="A470" s="132"/>
      <c r="B470" s="132"/>
      <c r="C470" s="133"/>
      <c r="D470" s="133"/>
      <c r="E470" s="133"/>
      <c r="F470" s="133"/>
      <c r="G470" s="134"/>
      <c r="H470" s="134"/>
      <c r="I470" s="134"/>
    </row>
    <row r="471" spans="1:9" ht="14.25" customHeight="1" x14ac:dyDescent="0.45">
      <c r="A471" s="132"/>
      <c r="B471" s="132"/>
      <c r="C471" s="133"/>
      <c r="D471" s="133"/>
      <c r="E471" s="133"/>
      <c r="F471" s="133"/>
      <c r="G471" s="134"/>
      <c r="H471" s="134"/>
      <c r="I471" s="134"/>
    </row>
    <row r="472" spans="1:9" ht="14.25" customHeight="1" x14ac:dyDescent="0.45">
      <c r="A472" s="132"/>
      <c r="B472" s="132"/>
      <c r="C472" s="133"/>
      <c r="D472" s="133"/>
      <c r="E472" s="133"/>
      <c r="F472" s="133"/>
      <c r="G472" s="134"/>
      <c r="H472" s="134"/>
      <c r="I472" s="134"/>
    </row>
    <row r="473" spans="1:9" ht="14.25" customHeight="1" x14ac:dyDescent="0.45">
      <c r="A473" s="132"/>
      <c r="B473" s="132"/>
      <c r="C473" s="133"/>
      <c r="D473" s="133"/>
      <c r="E473" s="133"/>
      <c r="F473" s="133"/>
      <c r="G473" s="134"/>
      <c r="H473" s="134"/>
      <c r="I473" s="134"/>
    </row>
    <row r="474" spans="1:9" ht="14.25" customHeight="1" x14ac:dyDescent="0.45">
      <c r="A474" s="132"/>
      <c r="B474" s="132"/>
      <c r="C474" s="133"/>
      <c r="D474" s="133"/>
      <c r="E474" s="133"/>
      <c r="F474" s="133"/>
      <c r="G474" s="134"/>
      <c r="H474" s="134"/>
      <c r="I474" s="134"/>
    </row>
    <row r="475" spans="1:9" ht="14.25" customHeight="1" x14ac:dyDescent="0.45">
      <c r="A475" s="132"/>
      <c r="B475" s="132"/>
      <c r="C475" s="133"/>
      <c r="D475" s="133"/>
      <c r="E475" s="133"/>
      <c r="F475" s="133"/>
      <c r="G475" s="134"/>
      <c r="H475" s="134"/>
      <c r="I475" s="134"/>
    </row>
    <row r="476" spans="1:9" ht="14.25" customHeight="1" x14ac:dyDescent="0.45">
      <c r="A476" s="132"/>
      <c r="B476" s="132"/>
      <c r="C476" s="133"/>
      <c r="D476" s="133"/>
      <c r="E476" s="133"/>
      <c r="F476" s="133"/>
      <c r="G476" s="134"/>
      <c r="H476" s="134"/>
      <c r="I476" s="134"/>
    </row>
    <row r="477" spans="1:9" ht="14.25" customHeight="1" x14ac:dyDescent="0.45">
      <c r="A477" s="132"/>
      <c r="B477" s="132"/>
      <c r="C477" s="133"/>
      <c r="D477" s="133"/>
      <c r="E477" s="133"/>
      <c r="F477" s="133"/>
      <c r="G477" s="134"/>
      <c r="H477" s="134"/>
      <c r="I477" s="134"/>
    </row>
    <row r="478" spans="1:9" ht="14.25" customHeight="1" x14ac:dyDescent="0.45">
      <c r="A478" s="132"/>
      <c r="B478" s="132"/>
      <c r="C478" s="133"/>
      <c r="D478" s="133"/>
      <c r="E478" s="133"/>
      <c r="F478" s="133"/>
      <c r="G478" s="134"/>
      <c r="H478" s="134"/>
      <c r="I478" s="134"/>
    </row>
    <row r="479" spans="1:9" ht="14.25" customHeight="1" x14ac:dyDescent="0.45">
      <c r="A479" s="132"/>
      <c r="B479" s="132"/>
      <c r="C479" s="133"/>
      <c r="D479" s="133"/>
      <c r="E479" s="133"/>
      <c r="F479" s="133"/>
      <c r="G479" s="134"/>
      <c r="H479" s="134"/>
      <c r="I479" s="134"/>
    </row>
    <row r="480" spans="1:9" ht="14.25" customHeight="1" x14ac:dyDescent="0.45">
      <c r="A480" s="132"/>
      <c r="B480" s="132"/>
      <c r="C480" s="133"/>
      <c r="D480" s="133"/>
      <c r="E480" s="133"/>
      <c r="F480" s="133"/>
      <c r="G480" s="134"/>
      <c r="H480" s="134"/>
      <c r="I480" s="134"/>
    </row>
    <row r="481" spans="1:9" ht="14.25" customHeight="1" x14ac:dyDescent="0.45">
      <c r="A481" s="132"/>
      <c r="B481" s="132"/>
      <c r="C481" s="133"/>
      <c r="D481" s="133"/>
      <c r="E481" s="133"/>
      <c r="F481" s="133"/>
      <c r="G481" s="134"/>
      <c r="H481" s="134"/>
      <c r="I481" s="134"/>
    </row>
    <row r="482" spans="1:9" ht="14.25" customHeight="1" x14ac:dyDescent="0.45">
      <c r="A482" s="132"/>
      <c r="B482" s="132"/>
      <c r="C482" s="133"/>
      <c r="D482" s="133"/>
      <c r="E482" s="133"/>
      <c r="F482" s="133"/>
      <c r="G482" s="134"/>
      <c r="H482" s="134"/>
      <c r="I482" s="134"/>
    </row>
    <row r="483" spans="1:9" ht="14.25" customHeight="1" x14ac:dyDescent="0.45">
      <c r="A483" s="132"/>
      <c r="B483" s="132"/>
      <c r="C483" s="133"/>
      <c r="D483" s="133"/>
      <c r="E483" s="133"/>
      <c r="F483" s="133"/>
      <c r="G483" s="134"/>
      <c r="H483" s="134"/>
      <c r="I483" s="134"/>
    </row>
    <row r="484" spans="1:9" ht="14.25" customHeight="1" x14ac:dyDescent="0.45">
      <c r="A484" s="132"/>
      <c r="B484" s="132"/>
      <c r="C484" s="133"/>
      <c r="D484" s="133"/>
      <c r="E484" s="133"/>
      <c r="F484" s="133"/>
      <c r="G484" s="134"/>
      <c r="H484" s="134"/>
      <c r="I484" s="134"/>
    </row>
    <row r="485" spans="1:9" ht="14.25" customHeight="1" x14ac:dyDescent="0.45">
      <c r="A485" s="132"/>
      <c r="B485" s="132"/>
      <c r="C485" s="133"/>
      <c r="D485" s="133"/>
      <c r="E485" s="133"/>
      <c r="F485" s="133"/>
      <c r="G485" s="134"/>
      <c r="H485" s="134"/>
      <c r="I485" s="134"/>
    </row>
    <row r="486" spans="1:9" ht="14.25" customHeight="1" x14ac:dyDescent="0.45">
      <c r="A486" s="132"/>
      <c r="B486" s="132"/>
      <c r="C486" s="133"/>
      <c r="D486" s="133"/>
      <c r="E486" s="133"/>
      <c r="F486" s="133"/>
      <c r="G486" s="134"/>
      <c r="H486" s="134"/>
      <c r="I486" s="134"/>
    </row>
    <row r="487" spans="1:9" ht="14.25" customHeight="1" x14ac:dyDescent="0.45">
      <c r="A487" s="132"/>
      <c r="B487" s="132"/>
      <c r="C487" s="133"/>
      <c r="D487" s="133"/>
      <c r="E487" s="133"/>
      <c r="F487" s="133"/>
      <c r="G487" s="134"/>
      <c r="H487" s="134"/>
      <c r="I487" s="134"/>
    </row>
    <row r="488" spans="1:9" ht="14.25" customHeight="1" x14ac:dyDescent="0.45">
      <c r="A488" s="132"/>
      <c r="B488" s="132"/>
      <c r="C488" s="133"/>
      <c r="D488" s="133"/>
      <c r="E488" s="133"/>
      <c r="F488" s="133"/>
      <c r="G488" s="134"/>
      <c r="H488" s="134"/>
      <c r="I488" s="134"/>
    </row>
    <row r="489" spans="1:9" ht="14.25" customHeight="1" x14ac:dyDescent="0.45">
      <c r="A489" s="132"/>
      <c r="B489" s="132"/>
      <c r="C489" s="133"/>
      <c r="D489" s="133"/>
      <c r="E489" s="133"/>
      <c r="F489" s="133"/>
      <c r="G489" s="134"/>
      <c r="H489" s="134"/>
      <c r="I489" s="134"/>
    </row>
    <row r="490" spans="1:9" ht="14.25" customHeight="1" x14ac:dyDescent="0.45">
      <c r="A490" s="132"/>
      <c r="B490" s="132"/>
      <c r="C490" s="133"/>
      <c r="D490" s="133"/>
      <c r="E490" s="133"/>
      <c r="F490" s="133"/>
      <c r="G490" s="134"/>
      <c r="H490" s="134"/>
      <c r="I490" s="134"/>
    </row>
    <row r="491" spans="1:9" ht="14.25" customHeight="1" x14ac:dyDescent="0.45">
      <c r="A491" s="132"/>
      <c r="B491" s="132"/>
      <c r="C491" s="133"/>
      <c r="D491" s="133"/>
      <c r="E491" s="133"/>
      <c r="F491" s="133"/>
      <c r="G491" s="134"/>
      <c r="H491" s="134"/>
      <c r="I491" s="134"/>
    </row>
    <row r="492" spans="1:9" ht="14.25" customHeight="1" x14ac:dyDescent="0.45">
      <c r="A492" s="132"/>
      <c r="B492" s="132"/>
      <c r="C492" s="133"/>
      <c r="D492" s="133"/>
      <c r="E492" s="133"/>
      <c r="F492" s="133"/>
      <c r="G492" s="134"/>
      <c r="H492" s="134"/>
      <c r="I492" s="134"/>
    </row>
    <row r="493" spans="1:9" ht="14.25" customHeight="1" x14ac:dyDescent="0.45">
      <c r="A493" s="132"/>
      <c r="B493" s="132"/>
      <c r="C493" s="133"/>
      <c r="D493" s="133"/>
      <c r="E493" s="133"/>
      <c r="F493" s="133"/>
      <c r="G493" s="134"/>
      <c r="H493" s="134"/>
      <c r="I493" s="134"/>
    </row>
    <row r="494" spans="1:9" ht="14.25" customHeight="1" x14ac:dyDescent="0.45">
      <c r="A494" s="132"/>
      <c r="B494" s="132"/>
      <c r="C494" s="133"/>
      <c r="D494" s="133"/>
      <c r="E494" s="133"/>
      <c r="F494" s="133"/>
      <c r="G494" s="134"/>
      <c r="H494" s="134"/>
      <c r="I494" s="134"/>
    </row>
    <row r="495" spans="1:9" ht="14.25" customHeight="1" x14ac:dyDescent="0.45">
      <c r="A495" s="132"/>
      <c r="B495" s="132"/>
      <c r="C495" s="133"/>
      <c r="D495" s="133"/>
      <c r="E495" s="133"/>
      <c r="F495" s="133"/>
      <c r="G495" s="134"/>
      <c r="H495" s="134"/>
      <c r="I495" s="134"/>
    </row>
    <row r="496" spans="1:9" ht="14.25" customHeight="1" x14ac:dyDescent="0.45">
      <c r="A496" s="132"/>
      <c r="B496" s="132"/>
      <c r="C496" s="133"/>
      <c r="D496" s="133"/>
      <c r="E496" s="133"/>
      <c r="F496" s="133"/>
      <c r="G496" s="134"/>
      <c r="H496" s="134"/>
      <c r="I496" s="134"/>
    </row>
    <row r="497" spans="1:9" ht="14.25" customHeight="1" x14ac:dyDescent="0.45">
      <c r="A497" s="132"/>
      <c r="B497" s="132"/>
      <c r="C497" s="133"/>
      <c r="D497" s="133"/>
      <c r="E497" s="133"/>
      <c r="F497" s="133"/>
      <c r="G497" s="134"/>
      <c r="H497" s="134"/>
      <c r="I497" s="134"/>
    </row>
    <row r="498" spans="1:9" ht="14.25" customHeight="1" x14ac:dyDescent="0.45">
      <c r="A498" s="132"/>
      <c r="B498" s="132"/>
      <c r="C498" s="133"/>
      <c r="D498" s="133"/>
      <c r="E498" s="133"/>
      <c r="F498" s="133"/>
      <c r="G498" s="134"/>
      <c r="H498" s="134"/>
      <c r="I498" s="134"/>
    </row>
    <row r="499" spans="1:9" ht="14.25" customHeight="1" x14ac:dyDescent="0.45">
      <c r="A499" s="132"/>
      <c r="B499" s="132"/>
      <c r="C499" s="133"/>
      <c r="D499" s="133"/>
      <c r="E499" s="133"/>
      <c r="F499" s="133"/>
      <c r="G499" s="134"/>
      <c r="H499" s="134"/>
      <c r="I499" s="134"/>
    </row>
    <row r="500" spans="1:9" ht="14.25" customHeight="1" x14ac:dyDescent="0.45">
      <c r="A500" s="132"/>
      <c r="B500" s="132"/>
      <c r="C500" s="133"/>
      <c r="D500" s="133"/>
      <c r="E500" s="133"/>
      <c r="F500" s="133"/>
      <c r="G500" s="134"/>
      <c r="H500" s="134"/>
      <c r="I500" s="134"/>
    </row>
    <row r="501" spans="1:9" ht="14.25" customHeight="1" x14ac:dyDescent="0.45">
      <c r="A501" s="132"/>
      <c r="B501" s="132"/>
      <c r="C501" s="133"/>
      <c r="D501" s="133"/>
      <c r="E501" s="133"/>
      <c r="F501" s="133"/>
      <c r="G501" s="134"/>
      <c r="H501" s="134"/>
      <c r="I501" s="134"/>
    </row>
    <row r="502" spans="1:9" ht="14.25" customHeight="1" x14ac:dyDescent="0.45">
      <c r="A502" s="132"/>
      <c r="B502" s="132"/>
      <c r="C502" s="133"/>
      <c r="D502" s="133"/>
      <c r="E502" s="133"/>
      <c r="F502" s="133"/>
      <c r="G502" s="134"/>
      <c r="H502" s="134"/>
      <c r="I502" s="134"/>
    </row>
    <row r="503" spans="1:9" ht="14.25" customHeight="1" x14ac:dyDescent="0.45">
      <c r="A503" s="132"/>
      <c r="B503" s="132"/>
      <c r="C503" s="133"/>
      <c r="D503" s="133"/>
      <c r="E503" s="133"/>
      <c r="F503" s="133"/>
      <c r="G503" s="134"/>
      <c r="H503" s="134"/>
      <c r="I503" s="134"/>
    </row>
    <row r="504" spans="1:9" ht="14.25" customHeight="1" x14ac:dyDescent="0.45">
      <c r="A504" s="132"/>
      <c r="B504" s="132"/>
      <c r="C504" s="133"/>
      <c r="D504" s="133"/>
      <c r="E504" s="133"/>
      <c r="F504" s="133"/>
      <c r="G504" s="134"/>
      <c r="H504" s="134"/>
      <c r="I504" s="134"/>
    </row>
    <row r="505" spans="1:9" ht="14.25" customHeight="1" x14ac:dyDescent="0.45">
      <c r="A505" s="132"/>
      <c r="B505" s="132"/>
      <c r="C505" s="133"/>
      <c r="D505" s="133"/>
      <c r="E505" s="133"/>
      <c r="F505" s="133"/>
      <c r="G505" s="134"/>
      <c r="H505" s="134"/>
      <c r="I505" s="134"/>
    </row>
    <row r="506" spans="1:9" ht="14.25" customHeight="1" x14ac:dyDescent="0.45">
      <c r="A506" s="132"/>
      <c r="B506" s="132"/>
      <c r="C506" s="133"/>
      <c r="D506" s="133"/>
      <c r="E506" s="133"/>
      <c r="F506" s="133"/>
      <c r="G506" s="134"/>
      <c r="H506" s="134"/>
      <c r="I506" s="134"/>
    </row>
    <row r="507" spans="1:9" ht="14.25" customHeight="1" x14ac:dyDescent="0.45">
      <c r="A507" s="132"/>
      <c r="B507" s="132"/>
      <c r="C507" s="133"/>
      <c r="D507" s="133"/>
      <c r="E507" s="133"/>
      <c r="F507" s="133"/>
      <c r="G507" s="134"/>
      <c r="H507" s="134"/>
      <c r="I507" s="134"/>
    </row>
    <row r="508" spans="1:9" ht="14.25" customHeight="1" x14ac:dyDescent="0.45">
      <c r="A508" s="132"/>
      <c r="B508" s="132"/>
      <c r="C508" s="133"/>
      <c r="D508" s="133"/>
      <c r="E508" s="133"/>
      <c r="F508" s="133"/>
      <c r="G508" s="134"/>
      <c r="H508" s="134"/>
      <c r="I508" s="134"/>
    </row>
    <row r="509" spans="1:9" ht="14.25" customHeight="1" x14ac:dyDescent="0.45">
      <c r="A509" s="132"/>
      <c r="B509" s="132"/>
      <c r="C509" s="133"/>
      <c r="D509" s="133"/>
      <c r="E509" s="133"/>
      <c r="F509" s="133"/>
      <c r="G509" s="134"/>
      <c r="H509" s="134"/>
      <c r="I509" s="134"/>
    </row>
    <row r="510" spans="1:9" ht="14.25" customHeight="1" x14ac:dyDescent="0.45">
      <c r="A510" s="132"/>
      <c r="B510" s="132"/>
      <c r="C510" s="133"/>
      <c r="D510" s="133"/>
      <c r="E510" s="133"/>
      <c r="F510" s="133"/>
      <c r="G510" s="134"/>
      <c r="H510" s="134"/>
      <c r="I510" s="134"/>
    </row>
    <row r="511" spans="1:9" ht="14.25" customHeight="1" x14ac:dyDescent="0.45">
      <c r="A511" s="132"/>
      <c r="B511" s="132"/>
      <c r="C511" s="133"/>
      <c r="D511" s="133"/>
      <c r="E511" s="133"/>
      <c r="F511" s="133"/>
      <c r="G511" s="134"/>
      <c r="H511" s="134"/>
      <c r="I511" s="134"/>
    </row>
    <row r="512" spans="1:9" ht="14.25" customHeight="1" x14ac:dyDescent="0.45">
      <c r="A512" s="132"/>
      <c r="B512" s="132"/>
      <c r="C512" s="133"/>
      <c r="D512" s="133"/>
      <c r="E512" s="133"/>
      <c r="F512" s="133"/>
      <c r="G512" s="134"/>
      <c r="H512" s="134"/>
      <c r="I512" s="134"/>
    </row>
    <row r="513" spans="1:9" ht="14.25" customHeight="1" x14ac:dyDescent="0.45">
      <c r="A513" s="132"/>
      <c r="B513" s="132"/>
      <c r="C513" s="133"/>
      <c r="D513" s="133"/>
      <c r="E513" s="133"/>
      <c r="F513" s="133"/>
      <c r="G513" s="134"/>
      <c r="H513" s="134"/>
      <c r="I513" s="134"/>
    </row>
    <row r="514" spans="1:9" ht="14.25" customHeight="1" x14ac:dyDescent="0.45">
      <c r="A514" s="132"/>
      <c r="B514" s="132"/>
      <c r="C514" s="133"/>
      <c r="D514" s="133"/>
      <c r="E514" s="133"/>
      <c r="F514" s="133"/>
      <c r="G514" s="134"/>
      <c r="H514" s="134"/>
      <c r="I514" s="134"/>
    </row>
    <row r="515" spans="1:9" ht="14.25" customHeight="1" x14ac:dyDescent="0.45">
      <c r="A515" s="132"/>
      <c r="B515" s="132"/>
      <c r="C515" s="133"/>
      <c r="D515" s="133"/>
      <c r="E515" s="133"/>
      <c r="F515" s="133"/>
      <c r="G515" s="134"/>
      <c r="H515" s="134"/>
      <c r="I515" s="134"/>
    </row>
    <row r="516" spans="1:9" ht="14.25" customHeight="1" x14ac:dyDescent="0.45">
      <c r="A516" s="132"/>
      <c r="B516" s="132"/>
      <c r="C516" s="133"/>
      <c r="D516" s="133"/>
      <c r="E516" s="133"/>
      <c r="F516" s="133"/>
      <c r="G516" s="134"/>
      <c r="H516" s="134"/>
      <c r="I516" s="134"/>
    </row>
    <row r="517" spans="1:9" ht="14.25" customHeight="1" x14ac:dyDescent="0.45">
      <c r="A517" s="132"/>
      <c r="B517" s="132"/>
      <c r="C517" s="133"/>
      <c r="D517" s="133"/>
      <c r="E517" s="133"/>
      <c r="F517" s="133"/>
      <c r="G517" s="134"/>
      <c r="H517" s="134"/>
      <c r="I517" s="134"/>
    </row>
    <row r="518" spans="1:9" ht="14.25" customHeight="1" x14ac:dyDescent="0.45">
      <c r="A518" s="132"/>
      <c r="B518" s="132"/>
      <c r="C518" s="133"/>
      <c r="D518" s="133"/>
      <c r="E518" s="133"/>
      <c r="F518" s="133"/>
      <c r="G518" s="134"/>
      <c r="H518" s="134"/>
      <c r="I518" s="134"/>
    </row>
    <row r="519" spans="1:9" ht="14.25" customHeight="1" x14ac:dyDescent="0.45">
      <c r="A519" s="132"/>
      <c r="B519" s="132"/>
      <c r="C519" s="133"/>
      <c r="D519" s="133"/>
      <c r="E519" s="133"/>
      <c r="F519" s="133"/>
      <c r="G519" s="134"/>
      <c r="H519" s="134"/>
      <c r="I519" s="134"/>
    </row>
    <row r="520" spans="1:9" ht="14.25" customHeight="1" x14ac:dyDescent="0.45">
      <c r="A520" s="132"/>
      <c r="B520" s="132"/>
      <c r="C520" s="133"/>
      <c r="D520" s="133"/>
      <c r="E520" s="133"/>
      <c r="F520" s="133"/>
      <c r="G520" s="134"/>
      <c r="H520" s="134"/>
      <c r="I520" s="134"/>
    </row>
    <row r="521" spans="1:9" ht="14.25" customHeight="1" x14ac:dyDescent="0.45">
      <c r="A521" s="132"/>
      <c r="B521" s="132"/>
      <c r="C521" s="133"/>
      <c r="D521" s="133"/>
      <c r="E521" s="133"/>
      <c r="F521" s="133"/>
      <c r="G521" s="134"/>
      <c r="H521" s="134"/>
      <c r="I521" s="134"/>
    </row>
    <row r="522" spans="1:9" ht="14.25" customHeight="1" x14ac:dyDescent="0.45">
      <c r="A522" s="132"/>
      <c r="B522" s="132"/>
      <c r="C522" s="133"/>
      <c r="D522" s="133"/>
      <c r="E522" s="133"/>
      <c r="F522" s="133"/>
      <c r="G522" s="134"/>
      <c r="H522" s="134"/>
      <c r="I522" s="134"/>
    </row>
    <row r="523" spans="1:9" ht="14.25" customHeight="1" x14ac:dyDescent="0.45">
      <c r="A523" s="132"/>
      <c r="B523" s="132"/>
      <c r="C523" s="133"/>
      <c r="D523" s="133"/>
      <c r="E523" s="133"/>
      <c r="F523" s="133"/>
      <c r="G523" s="134"/>
      <c r="H523" s="134"/>
      <c r="I523" s="134"/>
    </row>
    <row r="524" spans="1:9" ht="14.25" customHeight="1" x14ac:dyDescent="0.45">
      <c r="A524" s="132"/>
      <c r="B524" s="132"/>
      <c r="C524" s="133"/>
      <c r="D524" s="133"/>
      <c r="E524" s="133"/>
      <c r="F524" s="133"/>
      <c r="G524" s="134"/>
      <c r="H524" s="134"/>
      <c r="I524" s="134"/>
    </row>
    <row r="525" spans="1:9" ht="14.25" customHeight="1" x14ac:dyDescent="0.45">
      <c r="A525" s="132"/>
      <c r="B525" s="132"/>
      <c r="C525" s="133"/>
      <c r="D525" s="133"/>
      <c r="E525" s="133"/>
      <c r="F525" s="133"/>
      <c r="G525" s="134"/>
      <c r="H525" s="134"/>
      <c r="I525" s="134"/>
    </row>
    <row r="526" spans="1:9" ht="14.25" customHeight="1" x14ac:dyDescent="0.45">
      <c r="A526" s="132"/>
      <c r="B526" s="132"/>
      <c r="C526" s="133"/>
      <c r="D526" s="133"/>
      <c r="E526" s="133"/>
      <c r="F526" s="133"/>
      <c r="G526" s="134"/>
      <c r="H526" s="134"/>
      <c r="I526" s="134"/>
    </row>
    <row r="527" spans="1:9" ht="14.25" customHeight="1" x14ac:dyDescent="0.45">
      <c r="A527" s="132"/>
      <c r="B527" s="132"/>
      <c r="C527" s="133"/>
      <c r="D527" s="133"/>
      <c r="E527" s="133"/>
      <c r="F527" s="133"/>
      <c r="G527" s="134"/>
      <c r="H527" s="134"/>
      <c r="I527" s="134"/>
    </row>
    <row r="528" spans="1:9" ht="14.25" customHeight="1" x14ac:dyDescent="0.45">
      <c r="A528" s="132"/>
      <c r="B528" s="132"/>
      <c r="C528" s="133"/>
      <c r="D528" s="133"/>
      <c r="E528" s="133"/>
      <c r="F528" s="133"/>
      <c r="G528" s="134"/>
      <c r="H528" s="134"/>
      <c r="I528" s="134"/>
    </row>
    <row r="529" spans="1:9" ht="14.25" customHeight="1" x14ac:dyDescent="0.45">
      <c r="A529" s="132"/>
      <c r="B529" s="132"/>
      <c r="C529" s="133"/>
      <c r="D529" s="133"/>
      <c r="E529" s="133"/>
      <c r="F529" s="133"/>
      <c r="G529" s="134"/>
      <c r="H529" s="134"/>
      <c r="I529" s="134"/>
    </row>
    <row r="530" spans="1:9" ht="14.25" customHeight="1" x14ac:dyDescent="0.45">
      <c r="A530" s="132"/>
      <c r="B530" s="132"/>
      <c r="C530" s="133"/>
      <c r="D530" s="133"/>
      <c r="E530" s="133"/>
      <c r="F530" s="133"/>
      <c r="G530" s="134"/>
      <c r="H530" s="134"/>
      <c r="I530" s="134"/>
    </row>
    <row r="531" spans="1:9" ht="14.25" customHeight="1" x14ac:dyDescent="0.45">
      <c r="A531" s="132"/>
      <c r="B531" s="132"/>
      <c r="C531" s="133"/>
      <c r="D531" s="133"/>
      <c r="E531" s="133"/>
      <c r="F531" s="133"/>
      <c r="G531" s="134"/>
      <c r="H531" s="134"/>
      <c r="I531" s="134"/>
    </row>
    <row r="532" spans="1:9" ht="14.25" customHeight="1" x14ac:dyDescent="0.45">
      <c r="A532" s="132"/>
      <c r="B532" s="132"/>
      <c r="C532" s="133"/>
      <c r="D532" s="133"/>
      <c r="E532" s="133"/>
      <c r="F532" s="133"/>
      <c r="G532" s="134"/>
      <c r="H532" s="134"/>
      <c r="I532" s="134"/>
    </row>
    <row r="533" spans="1:9" ht="14.25" customHeight="1" x14ac:dyDescent="0.45">
      <c r="A533" s="132"/>
      <c r="B533" s="132"/>
      <c r="C533" s="133"/>
      <c r="D533" s="133"/>
      <c r="E533" s="133"/>
      <c r="F533" s="133"/>
      <c r="G533" s="134"/>
      <c r="H533" s="134"/>
      <c r="I533" s="134"/>
    </row>
    <row r="534" spans="1:9" ht="14.25" customHeight="1" x14ac:dyDescent="0.45">
      <c r="A534" s="132"/>
      <c r="B534" s="132"/>
      <c r="C534" s="133"/>
      <c r="D534" s="133"/>
      <c r="E534" s="133"/>
      <c r="F534" s="133"/>
      <c r="G534" s="134"/>
      <c r="H534" s="134"/>
      <c r="I534" s="134"/>
    </row>
    <row r="535" spans="1:9" ht="14.25" customHeight="1" x14ac:dyDescent="0.45">
      <c r="A535" s="132"/>
      <c r="B535" s="132"/>
      <c r="C535" s="133"/>
      <c r="D535" s="133"/>
      <c r="E535" s="133"/>
      <c r="F535" s="133"/>
      <c r="G535" s="134"/>
      <c r="H535" s="134"/>
      <c r="I535" s="134"/>
    </row>
    <row r="536" spans="1:9" ht="14.25" customHeight="1" x14ac:dyDescent="0.45">
      <c r="A536" s="132"/>
      <c r="B536" s="132"/>
      <c r="C536" s="133"/>
      <c r="D536" s="133"/>
      <c r="E536" s="133"/>
      <c r="F536" s="133"/>
      <c r="G536" s="134"/>
      <c r="H536" s="134"/>
      <c r="I536" s="134"/>
    </row>
    <row r="537" spans="1:9" ht="14.25" customHeight="1" x14ac:dyDescent="0.45">
      <c r="A537" s="132"/>
      <c r="B537" s="132"/>
      <c r="C537" s="133"/>
      <c r="D537" s="133"/>
      <c r="E537" s="133"/>
      <c r="F537" s="133"/>
      <c r="G537" s="134"/>
      <c r="H537" s="134"/>
      <c r="I537" s="134"/>
    </row>
    <row r="538" spans="1:9" ht="14.25" customHeight="1" x14ac:dyDescent="0.45">
      <c r="A538" s="132"/>
      <c r="B538" s="132"/>
      <c r="C538" s="133"/>
      <c r="D538" s="133"/>
      <c r="E538" s="133"/>
      <c r="F538" s="133"/>
      <c r="G538" s="134"/>
      <c r="H538" s="134"/>
      <c r="I538" s="134"/>
    </row>
    <row r="539" spans="1:9" ht="14.25" customHeight="1" x14ac:dyDescent="0.45">
      <c r="A539" s="132"/>
      <c r="B539" s="132"/>
      <c r="C539" s="133"/>
      <c r="D539" s="133"/>
      <c r="E539" s="133"/>
      <c r="F539" s="133"/>
      <c r="G539" s="134"/>
      <c r="H539" s="134"/>
      <c r="I539" s="134"/>
    </row>
    <row r="540" spans="1:9" ht="14.25" customHeight="1" x14ac:dyDescent="0.45">
      <c r="A540" s="132"/>
      <c r="B540" s="132"/>
      <c r="C540" s="133"/>
      <c r="D540" s="133"/>
      <c r="E540" s="133"/>
      <c r="F540" s="133"/>
      <c r="G540" s="134"/>
      <c r="H540" s="134"/>
      <c r="I540" s="134"/>
    </row>
    <row r="541" spans="1:9" ht="14.25" customHeight="1" x14ac:dyDescent="0.45">
      <c r="A541" s="132"/>
      <c r="B541" s="132"/>
      <c r="C541" s="133"/>
      <c r="D541" s="133"/>
      <c r="E541" s="133"/>
      <c r="F541" s="133"/>
      <c r="G541" s="134"/>
      <c r="H541" s="134"/>
      <c r="I541" s="134"/>
    </row>
    <row r="542" spans="1:9" ht="14.25" customHeight="1" x14ac:dyDescent="0.45">
      <c r="A542" s="132"/>
      <c r="B542" s="132"/>
      <c r="C542" s="133"/>
      <c r="D542" s="133"/>
      <c r="E542" s="133"/>
      <c r="F542" s="133"/>
      <c r="G542" s="134"/>
      <c r="H542" s="134"/>
      <c r="I542" s="134"/>
    </row>
    <row r="543" spans="1:9" ht="14.25" customHeight="1" x14ac:dyDescent="0.45">
      <c r="A543" s="132"/>
      <c r="B543" s="132"/>
      <c r="C543" s="133"/>
      <c r="D543" s="133"/>
      <c r="E543" s="133"/>
      <c r="F543" s="133"/>
      <c r="G543" s="134"/>
      <c r="H543" s="134"/>
      <c r="I543" s="134"/>
    </row>
    <row r="544" spans="1:9" ht="14.25" customHeight="1" x14ac:dyDescent="0.45">
      <c r="A544" s="132"/>
      <c r="B544" s="132"/>
      <c r="C544" s="133"/>
      <c r="D544" s="133"/>
      <c r="E544" s="133"/>
      <c r="F544" s="133"/>
      <c r="G544" s="134"/>
      <c r="H544" s="134"/>
      <c r="I544" s="134"/>
    </row>
    <row r="545" spans="1:9" ht="14.25" customHeight="1" x14ac:dyDescent="0.45">
      <c r="A545" s="132"/>
      <c r="B545" s="132"/>
      <c r="C545" s="133"/>
      <c r="D545" s="133"/>
      <c r="E545" s="133"/>
      <c r="F545" s="133"/>
      <c r="G545" s="134"/>
      <c r="H545" s="134"/>
      <c r="I545" s="134"/>
    </row>
    <row r="546" spans="1:9" ht="14.25" customHeight="1" x14ac:dyDescent="0.45">
      <c r="A546" s="132"/>
      <c r="B546" s="132"/>
      <c r="C546" s="133"/>
      <c r="D546" s="133"/>
      <c r="E546" s="133"/>
      <c r="F546" s="133"/>
      <c r="G546" s="134"/>
      <c r="H546" s="134"/>
      <c r="I546" s="134"/>
    </row>
    <row r="547" spans="1:9" ht="14.25" customHeight="1" x14ac:dyDescent="0.45">
      <c r="A547" s="132"/>
      <c r="B547" s="132"/>
      <c r="C547" s="133"/>
      <c r="D547" s="133"/>
      <c r="E547" s="133"/>
      <c r="F547" s="133"/>
      <c r="G547" s="134"/>
      <c r="H547" s="134"/>
      <c r="I547" s="134"/>
    </row>
    <row r="548" spans="1:9" ht="14.25" customHeight="1" x14ac:dyDescent="0.45">
      <c r="A548" s="132"/>
      <c r="B548" s="132"/>
      <c r="C548" s="133"/>
      <c r="D548" s="133"/>
      <c r="E548" s="133"/>
      <c r="F548" s="133"/>
      <c r="G548" s="134"/>
      <c r="H548" s="134"/>
      <c r="I548" s="134"/>
    </row>
    <row r="549" spans="1:9" ht="14.25" customHeight="1" x14ac:dyDescent="0.45">
      <c r="A549" s="132"/>
      <c r="B549" s="132"/>
      <c r="C549" s="133"/>
      <c r="D549" s="133"/>
      <c r="E549" s="133"/>
      <c r="F549" s="133"/>
      <c r="G549" s="134"/>
      <c r="H549" s="134"/>
      <c r="I549" s="134"/>
    </row>
    <row r="550" spans="1:9" ht="14.25" customHeight="1" x14ac:dyDescent="0.45">
      <c r="A550" s="132"/>
      <c r="B550" s="132"/>
      <c r="C550" s="133"/>
      <c r="D550" s="133"/>
      <c r="E550" s="133"/>
      <c r="F550" s="133"/>
      <c r="G550" s="134"/>
      <c r="H550" s="134"/>
      <c r="I550" s="134"/>
    </row>
    <row r="551" spans="1:9" ht="14.25" customHeight="1" x14ac:dyDescent="0.45">
      <c r="A551" s="132"/>
      <c r="B551" s="132"/>
      <c r="C551" s="133"/>
      <c r="D551" s="133"/>
      <c r="E551" s="133"/>
      <c r="F551" s="133"/>
      <c r="G551" s="134"/>
      <c r="H551" s="134"/>
      <c r="I551" s="134"/>
    </row>
    <row r="552" spans="1:9" ht="14.25" customHeight="1" x14ac:dyDescent="0.45">
      <c r="A552" s="132"/>
      <c r="B552" s="132"/>
      <c r="C552" s="133"/>
      <c r="D552" s="133"/>
      <c r="E552" s="133"/>
      <c r="F552" s="133"/>
      <c r="G552" s="134"/>
      <c r="H552" s="134"/>
      <c r="I552" s="134"/>
    </row>
    <row r="553" spans="1:9" ht="14.25" customHeight="1" x14ac:dyDescent="0.45">
      <c r="A553" s="132"/>
      <c r="B553" s="132"/>
      <c r="C553" s="133"/>
      <c r="D553" s="133"/>
      <c r="E553" s="133"/>
      <c r="F553" s="133"/>
      <c r="G553" s="134"/>
      <c r="H553" s="134"/>
      <c r="I553" s="134"/>
    </row>
    <row r="554" spans="1:9" ht="14.25" customHeight="1" x14ac:dyDescent="0.45">
      <c r="A554" s="132"/>
      <c r="B554" s="132"/>
      <c r="C554" s="133"/>
      <c r="D554" s="133"/>
      <c r="E554" s="133"/>
      <c r="F554" s="133"/>
      <c r="G554" s="134"/>
      <c r="H554" s="134"/>
      <c r="I554" s="134"/>
    </row>
    <row r="555" spans="1:9" ht="14.25" customHeight="1" x14ac:dyDescent="0.45">
      <c r="A555" s="132"/>
      <c r="B555" s="132"/>
      <c r="C555" s="133"/>
      <c r="D555" s="133"/>
      <c r="E555" s="133"/>
      <c r="F555" s="133"/>
      <c r="G555" s="134"/>
      <c r="H555" s="134"/>
      <c r="I555" s="134"/>
    </row>
    <row r="556" spans="1:9" ht="14.25" customHeight="1" x14ac:dyDescent="0.45">
      <c r="A556" s="132"/>
      <c r="B556" s="132"/>
      <c r="C556" s="133"/>
      <c r="D556" s="133"/>
      <c r="E556" s="133"/>
      <c r="F556" s="133"/>
      <c r="G556" s="134"/>
      <c r="H556" s="134"/>
      <c r="I556" s="134"/>
    </row>
    <row r="557" spans="1:9" ht="14.25" customHeight="1" x14ac:dyDescent="0.45">
      <c r="A557" s="132"/>
      <c r="B557" s="132"/>
      <c r="C557" s="133"/>
      <c r="D557" s="133"/>
      <c r="E557" s="133"/>
      <c r="F557" s="133"/>
      <c r="G557" s="134"/>
      <c r="H557" s="134"/>
      <c r="I557" s="134"/>
    </row>
    <row r="558" spans="1:9" ht="14.25" customHeight="1" x14ac:dyDescent="0.45">
      <c r="A558" s="132"/>
      <c r="B558" s="132"/>
      <c r="C558" s="133"/>
      <c r="D558" s="133"/>
      <c r="E558" s="133"/>
      <c r="F558" s="133"/>
      <c r="G558" s="134"/>
      <c r="H558" s="134"/>
      <c r="I558" s="134"/>
    </row>
    <row r="559" spans="1:9" ht="14.25" customHeight="1" x14ac:dyDescent="0.45">
      <c r="A559" s="132"/>
      <c r="B559" s="132"/>
      <c r="C559" s="133"/>
      <c r="D559" s="133"/>
      <c r="E559" s="133"/>
      <c r="F559" s="133"/>
      <c r="G559" s="134"/>
      <c r="H559" s="134"/>
      <c r="I559" s="134"/>
    </row>
    <row r="560" spans="1:9" ht="14.25" customHeight="1" x14ac:dyDescent="0.45">
      <c r="A560" s="132"/>
      <c r="B560" s="132"/>
      <c r="C560" s="133"/>
      <c r="D560" s="133"/>
      <c r="E560" s="133"/>
      <c r="F560" s="133"/>
      <c r="G560" s="134"/>
      <c r="H560" s="134"/>
      <c r="I560" s="134"/>
    </row>
    <row r="561" spans="1:9" ht="14.25" customHeight="1" x14ac:dyDescent="0.45">
      <c r="A561" s="132"/>
      <c r="B561" s="132"/>
      <c r="C561" s="133"/>
      <c r="D561" s="133"/>
      <c r="E561" s="133"/>
      <c r="F561" s="133"/>
      <c r="G561" s="134"/>
      <c r="H561" s="134"/>
      <c r="I561" s="134"/>
    </row>
    <row r="562" spans="1:9" ht="14.25" customHeight="1" x14ac:dyDescent="0.45">
      <c r="A562" s="132"/>
      <c r="B562" s="132"/>
      <c r="C562" s="133"/>
      <c r="D562" s="133"/>
      <c r="E562" s="133"/>
      <c r="F562" s="133"/>
      <c r="G562" s="134"/>
      <c r="H562" s="134"/>
      <c r="I562" s="134"/>
    </row>
    <row r="563" spans="1:9" ht="14.25" customHeight="1" x14ac:dyDescent="0.45">
      <c r="A563" s="132"/>
      <c r="B563" s="132"/>
      <c r="C563" s="133"/>
      <c r="D563" s="133"/>
      <c r="E563" s="133"/>
      <c r="F563" s="133"/>
      <c r="G563" s="134"/>
      <c r="H563" s="134"/>
      <c r="I563" s="134"/>
    </row>
    <row r="564" spans="1:9" ht="14.25" customHeight="1" x14ac:dyDescent="0.45">
      <c r="A564" s="132"/>
      <c r="B564" s="132"/>
      <c r="C564" s="133"/>
      <c r="D564" s="133"/>
      <c r="E564" s="133"/>
      <c r="F564" s="133"/>
      <c r="G564" s="134"/>
      <c r="H564" s="134"/>
      <c r="I564" s="134"/>
    </row>
    <row r="565" spans="1:9" ht="14.25" customHeight="1" x14ac:dyDescent="0.45">
      <c r="A565" s="132"/>
      <c r="B565" s="132"/>
      <c r="C565" s="133"/>
      <c r="D565" s="133"/>
      <c r="E565" s="133"/>
      <c r="F565" s="133"/>
      <c r="G565" s="134"/>
      <c r="H565" s="134"/>
      <c r="I565" s="134"/>
    </row>
    <row r="566" spans="1:9" ht="14.25" customHeight="1" x14ac:dyDescent="0.45">
      <c r="A566" s="132"/>
      <c r="B566" s="132"/>
      <c r="C566" s="133"/>
      <c r="D566" s="133"/>
      <c r="E566" s="133"/>
      <c r="F566" s="133"/>
      <c r="G566" s="134"/>
      <c r="H566" s="134"/>
      <c r="I566" s="134"/>
    </row>
    <row r="567" spans="1:9" ht="14.25" customHeight="1" x14ac:dyDescent="0.45">
      <c r="A567" s="132"/>
      <c r="B567" s="132"/>
      <c r="C567" s="133"/>
      <c r="D567" s="133"/>
      <c r="E567" s="133"/>
      <c r="F567" s="133"/>
      <c r="G567" s="134"/>
      <c r="H567" s="134"/>
      <c r="I567" s="134"/>
    </row>
    <row r="568" spans="1:9" ht="14.25" customHeight="1" x14ac:dyDescent="0.45">
      <c r="A568" s="132"/>
      <c r="B568" s="132"/>
      <c r="C568" s="133"/>
      <c r="D568" s="133"/>
      <c r="E568" s="133"/>
      <c r="F568" s="133"/>
      <c r="G568" s="134"/>
      <c r="H568" s="134"/>
      <c r="I568" s="134"/>
    </row>
    <row r="569" spans="1:9" ht="14.25" customHeight="1" x14ac:dyDescent="0.45">
      <c r="A569" s="132"/>
      <c r="B569" s="132"/>
      <c r="C569" s="133"/>
      <c r="D569" s="133"/>
      <c r="E569" s="133"/>
      <c r="F569" s="133"/>
      <c r="G569" s="134"/>
      <c r="H569" s="134"/>
      <c r="I569" s="134"/>
    </row>
    <row r="570" spans="1:9" ht="14.25" customHeight="1" x14ac:dyDescent="0.45">
      <c r="A570" s="132"/>
      <c r="B570" s="132"/>
      <c r="C570" s="133"/>
      <c r="D570" s="133"/>
      <c r="E570" s="133"/>
      <c r="F570" s="133"/>
      <c r="G570" s="134"/>
      <c r="H570" s="134"/>
      <c r="I570" s="134"/>
    </row>
    <row r="571" spans="1:9" ht="14.25" customHeight="1" x14ac:dyDescent="0.45">
      <c r="A571" s="132"/>
      <c r="B571" s="132"/>
      <c r="C571" s="133"/>
      <c r="D571" s="133"/>
      <c r="E571" s="133"/>
      <c r="F571" s="133"/>
      <c r="G571" s="134"/>
      <c r="H571" s="134"/>
      <c r="I571" s="134"/>
    </row>
    <row r="572" spans="1:9" ht="14.25" customHeight="1" x14ac:dyDescent="0.45">
      <c r="A572" s="132"/>
      <c r="B572" s="132"/>
      <c r="C572" s="133"/>
      <c r="D572" s="133"/>
      <c r="E572" s="133"/>
      <c r="F572" s="133"/>
      <c r="G572" s="134"/>
      <c r="H572" s="134"/>
      <c r="I572" s="134"/>
    </row>
    <row r="573" spans="1:9" ht="14.25" customHeight="1" x14ac:dyDescent="0.45">
      <c r="A573" s="132"/>
      <c r="B573" s="132"/>
      <c r="C573" s="133"/>
      <c r="D573" s="133"/>
      <c r="E573" s="133"/>
      <c r="F573" s="133"/>
      <c r="G573" s="134"/>
      <c r="H573" s="134"/>
      <c r="I573" s="134"/>
    </row>
    <row r="574" spans="1:9" ht="14.25" customHeight="1" x14ac:dyDescent="0.45">
      <c r="A574" s="132"/>
      <c r="B574" s="132"/>
      <c r="C574" s="133"/>
      <c r="D574" s="133"/>
      <c r="E574" s="133"/>
      <c r="F574" s="133"/>
      <c r="G574" s="134"/>
      <c r="H574" s="134"/>
      <c r="I574" s="134"/>
    </row>
    <row r="575" spans="1:9" ht="14.25" customHeight="1" x14ac:dyDescent="0.45">
      <c r="A575" s="132"/>
      <c r="B575" s="132"/>
      <c r="C575" s="133"/>
      <c r="D575" s="133"/>
      <c r="E575" s="133"/>
      <c r="F575" s="133"/>
      <c r="G575" s="134"/>
      <c r="H575" s="134"/>
      <c r="I575" s="134"/>
    </row>
    <row r="576" spans="1:9" ht="14.25" customHeight="1" x14ac:dyDescent="0.45">
      <c r="A576" s="132"/>
      <c r="B576" s="132"/>
      <c r="C576" s="133"/>
      <c r="D576" s="133"/>
      <c r="E576" s="133"/>
      <c r="F576" s="133"/>
      <c r="G576" s="134"/>
      <c r="H576" s="134"/>
      <c r="I576" s="134"/>
    </row>
    <row r="577" spans="1:9" ht="14.25" customHeight="1" x14ac:dyDescent="0.45">
      <c r="A577" s="132"/>
      <c r="B577" s="132"/>
      <c r="C577" s="133"/>
      <c r="D577" s="133"/>
      <c r="E577" s="133"/>
      <c r="F577" s="133"/>
      <c r="G577" s="134"/>
      <c r="H577" s="134"/>
      <c r="I577" s="134"/>
    </row>
    <row r="578" spans="1:9" ht="14.25" customHeight="1" x14ac:dyDescent="0.45">
      <c r="A578" s="132"/>
      <c r="B578" s="132"/>
      <c r="C578" s="133"/>
      <c r="D578" s="133"/>
      <c r="E578" s="133"/>
      <c r="F578" s="133"/>
      <c r="G578" s="134"/>
      <c r="H578" s="134"/>
      <c r="I578" s="134"/>
    </row>
    <row r="579" spans="1:9" ht="14.25" customHeight="1" x14ac:dyDescent="0.45">
      <c r="A579" s="132"/>
      <c r="B579" s="132"/>
      <c r="C579" s="133"/>
      <c r="D579" s="133"/>
      <c r="E579" s="133"/>
      <c r="F579" s="133"/>
      <c r="G579" s="134"/>
      <c r="H579" s="134"/>
      <c r="I579" s="134"/>
    </row>
    <row r="580" spans="1:9" ht="14.25" customHeight="1" x14ac:dyDescent="0.45">
      <c r="A580" s="132"/>
      <c r="B580" s="132"/>
      <c r="C580" s="133"/>
      <c r="D580" s="133"/>
      <c r="E580" s="133"/>
      <c r="F580" s="133"/>
      <c r="G580" s="134"/>
      <c r="H580" s="134"/>
      <c r="I580" s="134"/>
    </row>
    <row r="581" spans="1:9" ht="14.25" customHeight="1" x14ac:dyDescent="0.45">
      <c r="A581" s="132"/>
      <c r="B581" s="132"/>
      <c r="C581" s="133"/>
      <c r="D581" s="133"/>
      <c r="E581" s="133"/>
      <c r="F581" s="133"/>
      <c r="G581" s="134"/>
      <c r="H581" s="134"/>
      <c r="I581" s="134"/>
    </row>
    <row r="582" spans="1:9" ht="14.25" customHeight="1" x14ac:dyDescent="0.45">
      <c r="A582" s="132"/>
      <c r="B582" s="132"/>
      <c r="C582" s="133"/>
      <c r="D582" s="133"/>
      <c r="E582" s="133"/>
      <c r="F582" s="133"/>
      <c r="G582" s="134"/>
      <c r="H582" s="134"/>
      <c r="I582" s="134"/>
    </row>
    <row r="583" spans="1:9" ht="14.25" customHeight="1" x14ac:dyDescent="0.45">
      <c r="A583" s="132"/>
      <c r="B583" s="132"/>
      <c r="C583" s="133"/>
      <c r="D583" s="133"/>
      <c r="E583" s="133"/>
      <c r="F583" s="133"/>
      <c r="G583" s="134"/>
      <c r="H583" s="134"/>
      <c r="I583" s="134"/>
    </row>
    <row r="584" spans="1:9" ht="14.25" customHeight="1" x14ac:dyDescent="0.45">
      <c r="A584" s="132"/>
      <c r="B584" s="132"/>
      <c r="C584" s="133"/>
      <c r="D584" s="133"/>
      <c r="E584" s="133"/>
      <c r="F584" s="133"/>
      <c r="G584" s="134"/>
      <c r="H584" s="134"/>
      <c r="I584" s="134"/>
    </row>
    <row r="585" spans="1:9" ht="14.25" customHeight="1" x14ac:dyDescent="0.45">
      <c r="A585" s="132"/>
      <c r="B585" s="132"/>
      <c r="C585" s="133"/>
      <c r="D585" s="133"/>
      <c r="E585" s="133"/>
      <c r="F585" s="133"/>
      <c r="G585" s="134"/>
      <c r="H585" s="134"/>
      <c r="I585" s="134"/>
    </row>
    <row r="586" spans="1:9" ht="14.25" customHeight="1" x14ac:dyDescent="0.45">
      <c r="A586" s="132"/>
      <c r="B586" s="132"/>
      <c r="C586" s="133"/>
      <c r="D586" s="133"/>
      <c r="E586" s="133"/>
      <c r="F586" s="133"/>
      <c r="G586" s="134"/>
      <c r="H586" s="134"/>
      <c r="I586" s="134"/>
    </row>
    <row r="587" spans="1:9" ht="14.25" customHeight="1" x14ac:dyDescent="0.45">
      <c r="A587" s="132"/>
      <c r="B587" s="132"/>
      <c r="C587" s="133"/>
      <c r="D587" s="133"/>
      <c r="E587" s="133"/>
      <c r="F587" s="133"/>
      <c r="G587" s="134"/>
      <c r="H587" s="134"/>
      <c r="I587" s="134"/>
    </row>
    <row r="588" spans="1:9" ht="14.25" customHeight="1" x14ac:dyDescent="0.45">
      <c r="A588" s="132"/>
      <c r="B588" s="132"/>
      <c r="C588" s="133"/>
      <c r="D588" s="133"/>
      <c r="E588" s="133"/>
      <c r="F588" s="133"/>
      <c r="G588" s="134"/>
      <c r="H588" s="134"/>
      <c r="I588" s="134"/>
    </row>
    <row r="589" spans="1:9" ht="14.25" customHeight="1" x14ac:dyDescent="0.45">
      <c r="A589" s="132"/>
      <c r="B589" s="132"/>
      <c r="C589" s="133"/>
      <c r="D589" s="133"/>
      <c r="E589" s="133"/>
      <c r="F589" s="133"/>
      <c r="G589" s="134"/>
      <c r="H589" s="134"/>
      <c r="I589" s="134"/>
    </row>
    <row r="590" spans="1:9" ht="14.25" customHeight="1" x14ac:dyDescent="0.45">
      <c r="A590" s="132"/>
      <c r="B590" s="132"/>
      <c r="C590" s="133"/>
      <c r="D590" s="133"/>
      <c r="E590" s="133"/>
      <c r="F590" s="133"/>
      <c r="G590" s="134"/>
      <c r="H590" s="134"/>
      <c r="I590" s="134"/>
    </row>
    <row r="591" spans="1:9" ht="14.25" customHeight="1" x14ac:dyDescent="0.45">
      <c r="A591" s="132"/>
      <c r="B591" s="132"/>
      <c r="C591" s="133"/>
      <c r="D591" s="133"/>
      <c r="E591" s="133"/>
      <c r="F591" s="133"/>
      <c r="G591" s="134"/>
      <c r="H591" s="134"/>
      <c r="I591" s="134"/>
    </row>
    <row r="592" spans="1:9" ht="14.25" customHeight="1" x14ac:dyDescent="0.45">
      <c r="A592" s="132"/>
      <c r="B592" s="132"/>
      <c r="C592" s="133"/>
      <c r="D592" s="133"/>
      <c r="E592" s="133"/>
      <c r="F592" s="133"/>
      <c r="G592" s="134"/>
      <c r="H592" s="134"/>
      <c r="I592" s="134"/>
    </row>
    <row r="593" spans="1:9" ht="14.25" customHeight="1" x14ac:dyDescent="0.45">
      <c r="A593" s="132"/>
      <c r="B593" s="132"/>
      <c r="C593" s="133"/>
      <c r="D593" s="133"/>
      <c r="E593" s="133"/>
      <c r="F593" s="133"/>
      <c r="G593" s="134"/>
      <c r="H593" s="134"/>
      <c r="I593" s="134"/>
    </row>
    <row r="594" spans="1:9" ht="14.25" customHeight="1" x14ac:dyDescent="0.45">
      <c r="A594" s="132"/>
      <c r="B594" s="132"/>
      <c r="C594" s="133"/>
      <c r="D594" s="133"/>
      <c r="E594" s="133"/>
      <c r="F594" s="133"/>
      <c r="G594" s="134"/>
      <c r="H594" s="134"/>
      <c r="I594" s="134"/>
    </row>
    <row r="595" spans="1:9" ht="14.25" customHeight="1" x14ac:dyDescent="0.45">
      <c r="A595" s="132"/>
      <c r="B595" s="132"/>
      <c r="C595" s="133"/>
      <c r="D595" s="133"/>
      <c r="E595" s="133"/>
      <c r="F595" s="133"/>
      <c r="G595" s="134"/>
      <c r="H595" s="134"/>
      <c r="I595" s="134"/>
    </row>
    <row r="596" spans="1:9" ht="14.25" customHeight="1" x14ac:dyDescent="0.45">
      <c r="A596" s="132"/>
      <c r="B596" s="132"/>
      <c r="C596" s="133"/>
      <c r="D596" s="133"/>
      <c r="E596" s="133"/>
      <c r="F596" s="133"/>
      <c r="G596" s="134"/>
      <c r="H596" s="134"/>
      <c r="I596" s="134"/>
    </row>
    <row r="597" spans="1:9" ht="14.25" customHeight="1" x14ac:dyDescent="0.45">
      <c r="A597" s="132"/>
      <c r="B597" s="132"/>
      <c r="C597" s="133"/>
      <c r="D597" s="133"/>
      <c r="E597" s="133"/>
      <c r="F597" s="133"/>
      <c r="G597" s="134"/>
      <c r="H597" s="134"/>
      <c r="I597" s="134"/>
    </row>
    <row r="598" spans="1:9" ht="14.25" customHeight="1" x14ac:dyDescent="0.45">
      <c r="A598" s="132"/>
      <c r="B598" s="132"/>
      <c r="C598" s="133"/>
      <c r="D598" s="133"/>
      <c r="E598" s="133"/>
      <c r="F598" s="133"/>
      <c r="G598" s="134"/>
      <c r="H598" s="134"/>
      <c r="I598" s="134"/>
    </row>
    <row r="599" spans="1:9" ht="14.25" customHeight="1" x14ac:dyDescent="0.45">
      <c r="A599" s="132"/>
      <c r="B599" s="132"/>
      <c r="C599" s="133"/>
      <c r="D599" s="133"/>
      <c r="E599" s="133"/>
      <c r="F599" s="133"/>
      <c r="G599" s="134"/>
      <c r="H599" s="134"/>
      <c r="I599" s="134"/>
    </row>
    <row r="600" spans="1:9" ht="14.25" customHeight="1" x14ac:dyDescent="0.45">
      <c r="A600" s="132"/>
      <c r="B600" s="132"/>
      <c r="C600" s="133"/>
      <c r="D600" s="133"/>
      <c r="E600" s="133"/>
      <c r="F600" s="133"/>
      <c r="G600" s="134"/>
      <c r="H600" s="134"/>
      <c r="I600" s="134"/>
    </row>
    <row r="601" spans="1:9" ht="14.25" customHeight="1" x14ac:dyDescent="0.45">
      <c r="A601" s="132"/>
      <c r="B601" s="132"/>
      <c r="C601" s="133"/>
      <c r="D601" s="133"/>
      <c r="E601" s="133"/>
      <c r="F601" s="133"/>
      <c r="G601" s="134"/>
      <c r="H601" s="134"/>
      <c r="I601" s="134"/>
    </row>
    <row r="602" spans="1:9" ht="14.25" customHeight="1" x14ac:dyDescent="0.45">
      <c r="A602" s="132"/>
      <c r="B602" s="132"/>
      <c r="C602" s="133"/>
      <c r="D602" s="133"/>
      <c r="E602" s="133"/>
      <c r="F602" s="133"/>
      <c r="G602" s="134"/>
      <c r="H602" s="134"/>
      <c r="I602" s="134"/>
    </row>
    <row r="603" spans="1:9" ht="14.25" customHeight="1" x14ac:dyDescent="0.45">
      <c r="A603" s="132"/>
      <c r="B603" s="132"/>
      <c r="C603" s="133"/>
      <c r="D603" s="133"/>
      <c r="E603" s="133"/>
      <c r="F603" s="133"/>
      <c r="G603" s="134"/>
      <c r="H603" s="134"/>
      <c r="I603" s="134"/>
    </row>
    <row r="604" spans="1:9" ht="14.25" customHeight="1" x14ac:dyDescent="0.45">
      <c r="A604" s="132"/>
      <c r="B604" s="132"/>
      <c r="C604" s="133"/>
      <c r="D604" s="133"/>
      <c r="E604" s="133"/>
      <c r="F604" s="133"/>
      <c r="G604" s="134"/>
      <c r="H604" s="134"/>
      <c r="I604" s="134"/>
    </row>
    <row r="605" spans="1:9" ht="14.25" customHeight="1" x14ac:dyDescent="0.45">
      <c r="A605" s="132"/>
      <c r="B605" s="132"/>
      <c r="C605" s="133"/>
      <c r="D605" s="133"/>
      <c r="E605" s="133"/>
      <c r="F605" s="133"/>
      <c r="G605" s="134"/>
      <c r="H605" s="134"/>
      <c r="I605" s="134"/>
    </row>
    <row r="606" spans="1:9" ht="14.25" customHeight="1" x14ac:dyDescent="0.45">
      <c r="A606" s="132"/>
      <c r="B606" s="132"/>
      <c r="C606" s="133"/>
      <c r="D606" s="133"/>
      <c r="E606" s="133"/>
      <c r="F606" s="133"/>
      <c r="G606" s="134"/>
      <c r="H606" s="134"/>
      <c r="I606" s="134"/>
    </row>
    <row r="607" spans="1:9" ht="14.25" customHeight="1" x14ac:dyDescent="0.45">
      <c r="A607" s="132"/>
      <c r="B607" s="132"/>
      <c r="C607" s="133"/>
      <c r="D607" s="133"/>
      <c r="E607" s="133"/>
      <c r="F607" s="133"/>
      <c r="G607" s="134"/>
      <c r="H607" s="134"/>
      <c r="I607" s="134"/>
    </row>
    <row r="608" spans="1:9" ht="14.25" customHeight="1" x14ac:dyDescent="0.45">
      <c r="A608" s="132"/>
      <c r="B608" s="132"/>
      <c r="C608" s="133"/>
      <c r="D608" s="133"/>
      <c r="E608" s="133"/>
      <c r="F608" s="133"/>
      <c r="G608" s="134"/>
      <c r="H608" s="134"/>
      <c r="I608" s="134"/>
    </row>
    <row r="609" spans="1:9" ht="14.25" customHeight="1" x14ac:dyDescent="0.45">
      <c r="A609" s="132"/>
      <c r="B609" s="132"/>
      <c r="C609" s="133"/>
      <c r="D609" s="133"/>
      <c r="E609" s="133"/>
      <c r="F609" s="133"/>
      <c r="G609" s="134"/>
      <c r="H609" s="134"/>
      <c r="I609" s="134"/>
    </row>
    <row r="610" spans="1:9" ht="14.25" customHeight="1" x14ac:dyDescent="0.45">
      <c r="A610" s="132"/>
      <c r="B610" s="132"/>
      <c r="C610" s="133"/>
      <c r="D610" s="133"/>
      <c r="E610" s="133"/>
      <c r="F610" s="133"/>
      <c r="G610" s="134"/>
      <c r="H610" s="134"/>
      <c r="I610" s="134"/>
    </row>
    <row r="611" spans="1:9" ht="14.25" customHeight="1" x14ac:dyDescent="0.45">
      <c r="A611" s="132"/>
      <c r="B611" s="132"/>
      <c r="C611" s="133"/>
      <c r="D611" s="133"/>
      <c r="E611" s="133"/>
      <c r="F611" s="133"/>
      <c r="G611" s="134"/>
      <c r="H611" s="134"/>
      <c r="I611" s="134"/>
    </row>
    <row r="612" spans="1:9" ht="14.25" customHeight="1" x14ac:dyDescent="0.45">
      <c r="A612" s="132"/>
      <c r="B612" s="132"/>
      <c r="C612" s="133"/>
      <c r="D612" s="133"/>
      <c r="E612" s="133"/>
      <c r="F612" s="133"/>
      <c r="G612" s="134"/>
      <c r="H612" s="134"/>
      <c r="I612" s="134"/>
    </row>
    <row r="613" spans="1:9" ht="14.25" customHeight="1" x14ac:dyDescent="0.45">
      <c r="A613" s="132"/>
      <c r="B613" s="132"/>
      <c r="C613" s="133"/>
      <c r="D613" s="133"/>
      <c r="E613" s="133"/>
      <c r="F613" s="133"/>
      <c r="G613" s="134"/>
      <c r="H613" s="134"/>
      <c r="I613" s="134"/>
    </row>
    <row r="614" spans="1:9" ht="14.25" customHeight="1" x14ac:dyDescent="0.45">
      <c r="A614" s="132"/>
      <c r="B614" s="132"/>
      <c r="C614" s="133"/>
      <c r="D614" s="133"/>
      <c r="E614" s="133"/>
      <c r="F614" s="133"/>
      <c r="G614" s="134"/>
      <c r="H614" s="134"/>
      <c r="I614" s="134"/>
    </row>
    <row r="615" spans="1:9" ht="14.25" customHeight="1" x14ac:dyDescent="0.45">
      <c r="A615" s="132"/>
      <c r="B615" s="132"/>
      <c r="C615" s="133"/>
      <c r="D615" s="133"/>
      <c r="E615" s="133"/>
      <c r="F615" s="133"/>
      <c r="G615" s="134"/>
      <c r="H615" s="134"/>
      <c r="I615" s="134"/>
    </row>
    <row r="616" spans="1:9" ht="14.25" customHeight="1" x14ac:dyDescent="0.45">
      <c r="A616" s="132"/>
      <c r="B616" s="132"/>
      <c r="C616" s="133"/>
      <c r="D616" s="133"/>
      <c r="E616" s="133"/>
      <c r="F616" s="133"/>
      <c r="G616" s="134"/>
      <c r="H616" s="134"/>
      <c r="I616" s="134"/>
    </row>
    <row r="617" spans="1:9" ht="14.25" customHeight="1" x14ac:dyDescent="0.45">
      <c r="A617" s="132"/>
      <c r="B617" s="132"/>
      <c r="C617" s="133"/>
      <c r="D617" s="133"/>
      <c r="E617" s="133"/>
      <c r="F617" s="133"/>
      <c r="G617" s="134"/>
      <c r="H617" s="134"/>
      <c r="I617" s="134"/>
    </row>
    <row r="618" spans="1:9" ht="14.25" customHeight="1" x14ac:dyDescent="0.45">
      <c r="A618" s="132"/>
      <c r="B618" s="132"/>
      <c r="C618" s="133"/>
      <c r="D618" s="133"/>
      <c r="E618" s="133"/>
      <c r="F618" s="133"/>
      <c r="G618" s="134"/>
      <c r="H618" s="134"/>
      <c r="I618" s="134"/>
    </row>
    <row r="619" spans="1:9" ht="14.25" customHeight="1" x14ac:dyDescent="0.45">
      <c r="A619" s="132"/>
      <c r="B619" s="132"/>
      <c r="C619" s="133"/>
      <c r="D619" s="133"/>
      <c r="E619" s="133"/>
      <c r="F619" s="133"/>
      <c r="G619" s="134"/>
      <c r="H619" s="134"/>
      <c r="I619" s="134"/>
    </row>
    <row r="620" spans="1:9" ht="14.25" customHeight="1" x14ac:dyDescent="0.45">
      <c r="A620" s="132"/>
      <c r="B620" s="132"/>
      <c r="C620" s="133"/>
      <c r="D620" s="133"/>
      <c r="E620" s="133"/>
      <c r="F620" s="133"/>
      <c r="G620" s="134"/>
      <c r="H620" s="134"/>
      <c r="I620" s="134"/>
    </row>
    <row r="621" spans="1:9" ht="14.25" customHeight="1" x14ac:dyDescent="0.45">
      <c r="A621" s="132"/>
      <c r="B621" s="132"/>
      <c r="C621" s="133"/>
      <c r="D621" s="133"/>
      <c r="E621" s="133"/>
      <c r="F621" s="133"/>
      <c r="G621" s="134"/>
      <c r="H621" s="134"/>
      <c r="I621" s="134"/>
    </row>
    <row r="622" spans="1:9" ht="14.25" customHeight="1" x14ac:dyDescent="0.45">
      <c r="A622" s="132"/>
      <c r="B622" s="132"/>
      <c r="C622" s="133"/>
      <c r="D622" s="133"/>
      <c r="E622" s="133"/>
      <c r="F622" s="133"/>
      <c r="G622" s="134"/>
      <c r="H622" s="134"/>
      <c r="I622" s="134"/>
    </row>
    <row r="623" spans="1:9" ht="14.25" customHeight="1" x14ac:dyDescent="0.45">
      <c r="A623" s="132"/>
      <c r="B623" s="132"/>
      <c r="C623" s="133"/>
      <c r="D623" s="133"/>
      <c r="E623" s="133"/>
      <c r="F623" s="133"/>
      <c r="G623" s="134"/>
      <c r="H623" s="134"/>
      <c r="I623" s="134"/>
    </row>
    <row r="624" spans="1:9" ht="14.25" customHeight="1" x14ac:dyDescent="0.45">
      <c r="A624" s="132"/>
      <c r="B624" s="132"/>
      <c r="C624" s="133"/>
      <c r="D624" s="133"/>
      <c r="E624" s="133"/>
      <c r="F624" s="133"/>
      <c r="G624" s="134"/>
      <c r="H624" s="134"/>
      <c r="I624" s="134"/>
    </row>
    <row r="625" spans="1:9" ht="14.25" customHeight="1" x14ac:dyDescent="0.45">
      <c r="A625" s="132"/>
      <c r="B625" s="132"/>
      <c r="C625" s="133"/>
      <c r="D625" s="133"/>
      <c r="E625" s="133"/>
      <c r="F625" s="133"/>
      <c r="G625" s="134"/>
      <c r="H625" s="134"/>
      <c r="I625" s="134"/>
    </row>
    <row r="626" spans="1:9" ht="14.25" customHeight="1" x14ac:dyDescent="0.45">
      <c r="A626" s="132"/>
      <c r="B626" s="132"/>
      <c r="C626" s="133"/>
      <c r="D626" s="133"/>
      <c r="E626" s="133"/>
      <c r="F626" s="133"/>
      <c r="G626" s="134"/>
      <c r="H626" s="134"/>
      <c r="I626" s="134"/>
    </row>
    <row r="627" spans="1:9" ht="14.25" customHeight="1" x14ac:dyDescent="0.45">
      <c r="A627" s="132"/>
      <c r="B627" s="132"/>
      <c r="C627" s="133"/>
      <c r="D627" s="133"/>
      <c r="E627" s="133"/>
      <c r="F627" s="133"/>
      <c r="G627" s="134"/>
      <c r="H627" s="134"/>
      <c r="I627" s="134"/>
    </row>
    <row r="628" spans="1:9" ht="14.25" customHeight="1" x14ac:dyDescent="0.45">
      <c r="A628" s="132"/>
      <c r="B628" s="132"/>
      <c r="C628" s="133"/>
      <c r="D628" s="133"/>
      <c r="E628" s="133"/>
      <c r="F628" s="133"/>
      <c r="G628" s="134"/>
      <c r="H628" s="134"/>
      <c r="I628" s="134"/>
    </row>
    <row r="629" spans="1:9" ht="14.25" customHeight="1" x14ac:dyDescent="0.45">
      <c r="A629" s="132"/>
      <c r="B629" s="132"/>
      <c r="C629" s="133"/>
      <c r="D629" s="133"/>
      <c r="E629" s="133"/>
      <c r="F629" s="133"/>
      <c r="G629" s="134"/>
      <c r="H629" s="134"/>
      <c r="I629" s="134"/>
    </row>
    <row r="630" spans="1:9" ht="14.25" customHeight="1" x14ac:dyDescent="0.45">
      <c r="A630" s="132"/>
      <c r="B630" s="132"/>
      <c r="C630" s="133"/>
      <c r="D630" s="133"/>
      <c r="E630" s="133"/>
      <c r="F630" s="133"/>
      <c r="G630" s="134"/>
      <c r="H630" s="134"/>
      <c r="I630" s="134"/>
    </row>
    <row r="631" spans="1:9" ht="14.25" customHeight="1" x14ac:dyDescent="0.45">
      <c r="A631" s="132"/>
      <c r="B631" s="132"/>
      <c r="C631" s="133"/>
      <c r="D631" s="133"/>
      <c r="E631" s="133"/>
      <c r="F631" s="133"/>
      <c r="G631" s="134"/>
      <c r="H631" s="134"/>
      <c r="I631" s="134"/>
    </row>
    <row r="632" spans="1:9" ht="14.25" customHeight="1" x14ac:dyDescent="0.45">
      <c r="A632" s="132"/>
      <c r="B632" s="132"/>
      <c r="C632" s="133"/>
      <c r="D632" s="133"/>
      <c r="E632" s="133"/>
      <c r="F632" s="133"/>
      <c r="G632" s="134"/>
      <c r="H632" s="134"/>
      <c r="I632" s="134"/>
    </row>
    <row r="633" spans="1:9" ht="14.25" customHeight="1" x14ac:dyDescent="0.45">
      <c r="A633" s="132"/>
      <c r="B633" s="132"/>
      <c r="C633" s="133"/>
      <c r="D633" s="133"/>
      <c r="E633" s="133"/>
      <c r="F633" s="133"/>
      <c r="G633" s="134"/>
      <c r="H633" s="134"/>
      <c r="I633" s="134"/>
    </row>
    <row r="634" spans="1:9" ht="14.25" customHeight="1" x14ac:dyDescent="0.45">
      <c r="A634" s="132"/>
      <c r="B634" s="132"/>
      <c r="C634" s="133"/>
      <c r="D634" s="133"/>
      <c r="E634" s="133"/>
      <c r="F634" s="133"/>
      <c r="G634" s="134"/>
      <c r="H634" s="134"/>
      <c r="I634" s="134"/>
    </row>
    <row r="635" spans="1:9" ht="14.25" customHeight="1" x14ac:dyDescent="0.45">
      <c r="A635" s="132"/>
      <c r="B635" s="132"/>
      <c r="C635" s="133"/>
      <c r="D635" s="133"/>
      <c r="E635" s="133"/>
      <c r="F635" s="133"/>
      <c r="G635" s="134"/>
      <c r="H635" s="134"/>
      <c r="I635" s="134"/>
    </row>
    <row r="636" spans="1:9" ht="14.25" customHeight="1" x14ac:dyDescent="0.45">
      <c r="A636" s="132"/>
      <c r="B636" s="132"/>
      <c r="C636" s="133"/>
      <c r="D636" s="133"/>
      <c r="E636" s="133"/>
      <c r="F636" s="133"/>
      <c r="G636" s="134"/>
      <c r="H636" s="134"/>
      <c r="I636" s="134"/>
    </row>
    <row r="637" spans="1:9" ht="14.25" customHeight="1" x14ac:dyDescent="0.45">
      <c r="A637" s="132"/>
      <c r="B637" s="132"/>
      <c r="C637" s="133"/>
      <c r="D637" s="133"/>
      <c r="E637" s="133"/>
      <c r="F637" s="133"/>
      <c r="G637" s="134"/>
      <c r="H637" s="134"/>
      <c r="I637" s="134"/>
    </row>
    <row r="638" spans="1:9" ht="14.25" customHeight="1" x14ac:dyDescent="0.45">
      <c r="A638" s="132"/>
      <c r="B638" s="132"/>
      <c r="C638" s="133"/>
      <c r="D638" s="133"/>
      <c r="E638" s="133"/>
      <c r="F638" s="133"/>
      <c r="G638" s="134"/>
      <c r="H638" s="134"/>
      <c r="I638" s="134"/>
    </row>
    <row r="639" spans="1:9" ht="14.25" customHeight="1" x14ac:dyDescent="0.45">
      <c r="A639" s="132"/>
      <c r="B639" s="132"/>
      <c r="C639" s="133"/>
      <c r="D639" s="133"/>
      <c r="E639" s="133"/>
      <c r="F639" s="133"/>
      <c r="G639" s="134"/>
      <c r="H639" s="134"/>
      <c r="I639" s="134"/>
    </row>
    <row r="640" spans="1:9" ht="14.25" customHeight="1" x14ac:dyDescent="0.45">
      <c r="A640" s="132"/>
      <c r="B640" s="132"/>
      <c r="C640" s="133"/>
      <c r="D640" s="133"/>
      <c r="E640" s="133"/>
      <c r="F640" s="133"/>
      <c r="G640" s="134"/>
      <c r="H640" s="134"/>
      <c r="I640" s="134"/>
    </row>
    <row r="641" spans="1:9" ht="14.25" customHeight="1" x14ac:dyDescent="0.45">
      <c r="A641" s="132"/>
      <c r="B641" s="132"/>
      <c r="C641" s="133"/>
      <c r="D641" s="133"/>
      <c r="E641" s="133"/>
      <c r="F641" s="133"/>
      <c r="G641" s="134"/>
      <c r="H641" s="134"/>
      <c r="I641" s="134"/>
    </row>
    <row r="642" spans="1:9" ht="14.25" customHeight="1" x14ac:dyDescent="0.45">
      <c r="A642" s="132"/>
      <c r="B642" s="132"/>
      <c r="C642" s="133"/>
      <c r="D642" s="133"/>
      <c r="E642" s="133"/>
      <c r="F642" s="133"/>
      <c r="G642" s="134"/>
      <c r="H642" s="134"/>
      <c r="I642" s="134"/>
    </row>
    <row r="643" spans="1:9" ht="14.25" customHeight="1" x14ac:dyDescent="0.45">
      <c r="A643" s="132"/>
      <c r="B643" s="132"/>
      <c r="C643" s="133"/>
      <c r="D643" s="133"/>
      <c r="E643" s="133"/>
      <c r="F643" s="133"/>
      <c r="G643" s="134"/>
      <c r="H643" s="134"/>
      <c r="I643" s="134"/>
    </row>
    <row r="644" spans="1:9" ht="14.25" customHeight="1" x14ac:dyDescent="0.45">
      <c r="A644" s="132"/>
      <c r="B644" s="132"/>
      <c r="C644" s="133"/>
      <c r="D644" s="133"/>
      <c r="E644" s="133"/>
      <c r="F644" s="133"/>
      <c r="G644" s="134"/>
      <c r="H644" s="134"/>
      <c r="I644" s="134"/>
    </row>
    <row r="645" spans="1:9" ht="14.25" customHeight="1" x14ac:dyDescent="0.45">
      <c r="A645" s="132"/>
      <c r="B645" s="132"/>
      <c r="C645" s="133"/>
      <c r="D645" s="133"/>
      <c r="E645" s="133"/>
      <c r="F645" s="133"/>
      <c r="G645" s="134"/>
      <c r="H645" s="134"/>
      <c r="I645" s="134"/>
    </row>
    <row r="646" spans="1:9" ht="14.25" customHeight="1" x14ac:dyDescent="0.45">
      <c r="A646" s="132"/>
      <c r="B646" s="132"/>
      <c r="C646" s="133"/>
      <c r="D646" s="133"/>
      <c r="E646" s="133"/>
      <c r="F646" s="133"/>
      <c r="G646" s="134"/>
      <c r="H646" s="134"/>
      <c r="I646" s="134"/>
    </row>
    <row r="647" spans="1:9" ht="14.25" customHeight="1" x14ac:dyDescent="0.45">
      <c r="A647" s="132"/>
      <c r="B647" s="132"/>
      <c r="C647" s="133"/>
      <c r="D647" s="133"/>
      <c r="E647" s="133"/>
      <c r="F647" s="133"/>
      <c r="G647" s="134"/>
      <c r="H647" s="134"/>
      <c r="I647" s="134"/>
    </row>
    <row r="648" spans="1:9" ht="14.25" customHeight="1" x14ac:dyDescent="0.45">
      <c r="A648" s="132"/>
      <c r="B648" s="132"/>
      <c r="C648" s="133"/>
      <c r="D648" s="133"/>
      <c r="E648" s="133"/>
      <c r="F648" s="133"/>
      <c r="G648" s="134"/>
      <c r="H648" s="134"/>
      <c r="I648" s="134"/>
    </row>
    <row r="649" spans="1:9" ht="14.25" customHeight="1" x14ac:dyDescent="0.45">
      <c r="A649" s="132"/>
      <c r="B649" s="132"/>
      <c r="C649" s="133"/>
      <c r="D649" s="133"/>
      <c r="E649" s="133"/>
      <c r="F649" s="133"/>
      <c r="G649" s="134"/>
      <c r="H649" s="134"/>
      <c r="I649" s="134"/>
    </row>
    <row r="650" spans="1:9" ht="14.25" customHeight="1" x14ac:dyDescent="0.45">
      <c r="A650" s="132"/>
      <c r="B650" s="132"/>
      <c r="C650" s="133"/>
      <c r="D650" s="133"/>
      <c r="E650" s="133"/>
      <c r="F650" s="133"/>
      <c r="G650" s="134"/>
      <c r="H650" s="134"/>
      <c r="I650" s="134"/>
    </row>
    <row r="651" spans="1:9" ht="14.25" customHeight="1" x14ac:dyDescent="0.45">
      <c r="A651" s="132"/>
      <c r="B651" s="132"/>
      <c r="C651" s="133"/>
      <c r="D651" s="133"/>
      <c r="E651" s="133"/>
      <c r="F651" s="133"/>
      <c r="G651" s="134"/>
      <c r="H651" s="134"/>
      <c r="I651" s="134"/>
    </row>
    <row r="652" spans="1:9" ht="14.25" customHeight="1" x14ac:dyDescent="0.45">
      <c r="A652" s="132"/>
      <c r="B652" s="132"/>
      <c r="C652" s="133"/>
      <c r="D652" s="133"/>
      <c r="E652" s="133"/>
      <c r="F652" s="133"/>
      <c r="G652" s="134"/>
      <c r="H652" s="134"/>
      <c r="I652" s="134"/>
    </row>
    <row r="653" spans="1:9" ht="14.25" customHeight="1" x14ac:dyDescent="0.45">
      <c r="A653" s="132"/>
      <c r="B653" s="132"/>
      <c r="C653" s="133"/>
      <c r="D653" s="133"/>
      <c r="E653" s="133"/>
      <c r="F653" s="133"/>
      <c r="G653" s="134"/>
      <c r="H653" s="134"/>
      <c r="I653" s="134"/>
    </row>
    <row r="654" spans="1:9" ht="14.25" customHeight="1" x14ac:dyDescent="0.45">
      <c r="A654" s="132"/>
      <c r="B654" s="132"/>
      <c r="C654" s="133"/>
      <c r="D654" s="133"/>
      <c r="E654" s="133"/>
      <c r="F654" s="133"/>
      <c r="G654" s="134"/>
      <c r="H654" s="134"/>
      <c r="I654" s="134"/>
    </row>
    <row r="655" spans="1:9" ht="14.25" customHeight="1" x14ac:dyDescent="0.45">
      <c r="A655" s="132"/>
      <c r="B655" s="132"/>
      <c r="C655" s="133"/>
      <c r="D655" s="133"/>
      <c r="E655" s="133"/>
      <c r="F655" s="133"/>
      <c r="G655" s="134"/>
      <c r="H655" s="134"/>
      <c r="I655" s="134"/>
    </row>
    <row r="656" spans="1:9" ht="14.25" customHeight="1" x14ac:dyDescent="0.45">
      <c r="A656" s="132"/>
      <c r="B656" s="132"/>
      <c r="C656" s="133"/>
      <c r="D656" s="133"/>
      <c r="E656" s="133"/>
      <c r="F656" s="133"/>
      <c r="G656" s="134"/>
      <c r="H656" s="134"/>
      <c r="I656" s="134"/>
    </row>
    <row r="657" spans="1:9" ht="14.25" customHeight="1" x14ac:dyDescent="0.45">
      <c r="A657" s="132"/>
      <c r="B657" s="132"/>
      <c r="C657" s="133"/>
      <c r="D657" s="133"/>
      <c r="E657" s="133"/>
      <c r="F657" s="133"/>
      <c r="G657" s="134"/>
      <c r="H657" s="134"/>
      <c r="I657" s="134"/>
    </row>
    <row r="658" spans="1:9" ht="14.25" customHeight="1" x14ac:dyDescent="0.45">
      <c r="A658" s="132"/>
      <c r="B658" s="132"/>
      <c r="C658" s="133"/>
      <c r="D658" s="133"/>
      <c r="E658" s="133"/>
      <c r="F658" s="133"/>
      <c r="G658" s="134"/>
      <c r="H658" s="134"/>
      <c r="I658" s="134"/>
    </row>
    <row r="659" spans="1:9" ht="14.25" customHeight="1" x14ac:dyDescent="0.45">
      <c r="A659" s="132"/>
      <c r="B659" s="132"/>
      <c r="C659" s="133"/>
      <c r="D659" s="133"/>
      <c r="E659" s="133"/>
      <c r="F659" s="133"/>
      <c r="G659" s="134"/>
      <c r="H659" s="134"/>
      <c r="I659" s="134"/>
    </row>
    <row r="660" spans="1:9" ht="14.25" customHeight="1" x14ac:dyDescent="0.45">
      <c r="A660" s="132"/>
      <c r="B660" s="132"/>
      <c r="C660" s="133"/>
      <c r="D660" s="133"/>
      <c r="E660" s="133"/>
      <c r="F660" s="133"/>
      <c r="G660" s="134"/>
      <c r="H660" s="134"/>
      <c r="I660" s="134"/>
    </row>
    <row r="661" spans="1:9" ht="14.25" customHeight="1" x14ac:dyDescent="0.45">
      <c r="A661" s="132"/>
      <c r="B661" s="132"/>
      <c r="C661" s="133"/>
      <c r="D661" s="133"/>
      <c r="E661" s="133"/>
      <c r="F661" s="133"/>
      <c r="G661" s="134"/>
      <c r="H661" s="134"/>
      <c r="I661" s="134"/>
    </row>
    <row r="662" spans="1:9" ht="14.25" customHeight="1" x14ac:dyDescent="0.45">
      <c r="A662" s="132"/>
      <c r="B662" s="132"/>
      <c r="C662" s="133"/>
      <c r="D662" s="133"/>
      <c r="E662" s="133"/>
      <c r="F662" s="133"/>
      <c r="G662" s="134"/>
      <c r="H662" s="134"/>
      <c r="I662" s="134"/>
    </row>
    <row r="663" spans="1:9" ht="14.25" customHeight="1" x14ac:dyDescent="0.45">
      <c r="A663" s="132"/>
      <c r="B663" s="132"/>
      <c r="C663" s="133"/>
      <c r="D663" s="133"/>
      <c r="E663" s="133"/>
      <c r="F663" s="133"/>
      <c r="G663" s="134"/>
      <c r="H663" s="134"/>
      <c r="I663" s="134"/>
    </row>
    <row r="664" spans="1:9" ht="14.25" customHeight="1" x14ac:dyDescent="0.45">
      <c r="A664" s="132"/>
      <c r="B664" s="132"/>
      <c r="C664" s="133"/>
      <c r="D664" s="133"/>
      <c r="E664" s="133"/>
      <c r="F664" s="133"/>
      <c r="G664" s="134"/>
      <c r="H664" s="134"/>
      <c r="I664" s="134"/>
    </row>
    <row r="665" spans="1:9" ht="14.25" customHeight="1" x14ac:dyDescent="0.45">
      <c r="A665" s="132"/>
      <c r="B665" s="132"/>
      <c r="C665" s="133"/>
      <c r="D665" s="133"/>
      <c r="E665" s="133"/>
      <c r="F665" s="133"/>
      <c r="G665" s="134"/>
      <c r="H665" s="134"/>
      <c r="I665" s="134"/>
    </row>
    <row r="666" spans="1:9" ht="14.25" customHeight="1" x14ac:dyDescent="0.45">
      <c r="A666" s="132"/>
      <c r="B666" s="132"/>
      <c r="C666" s="133"/>
      <c r="D666" s="133"/>
      <c r="E666" s="133"/>
      <c r="F666" s="133"/>
      <c r="G666" s="134"/>
      <c r="H666" s="134"/>
      <c r="I666" s="134"/>
    </row>
    <row r="667" spans="1:9" ht="14.25" customHeight="1" x14ac:dyDescent="0.45">
      <c r="A667" s="132"/>
      <c r="B667" s="132"/>
      <c r="C667" s="133"/>
      <c r="D667" s="133"/>
      <c r="E667" s="133"/>
      <c r="F667" s="133"/>
      <c r="G667" s="134"/>
      <c r="H667" s="134"/>
      <c r="I667" s="134"/>
    </row>
    <row r="668" spans="1:9" ht="14.25" customHeight="1" x14ac:dyDescent="0.45">
      <c r="A668" s="132"/>
      <c r="B668" s="132"/>
      <c r="C668" s="133"/>
      <c r="D668" s="133"/>
      <c r="E668" s="133"/>
      <c r="F668" s="133"/>
      <c r="G668" s="134"/>
      <c r="H668" s="134"/>
      <c r="I668" s="134"/>
    </row>
    <row r="669" spans="1:9" ht="14.25" customHeight="1" x14ac:dyDescent="0.45">
      <c r="A669" s="132"/>
      <c r="B669" s="132"/>
      <c r="C669" s="133"/>
      <c r="D669" s="133"/>
      <c r="E669" s="133"/>
      <c r="F669" s="133"/>
      <c r="G669" s="134"/>
      <c r="H669" s="134"/>
      <c r="I669" s="134"/>
    </row>
    <row r="670" spans="1:9" ht="14.25" customHeight="1" x14ac:dyDescent="0.45">
      <c r="A670" s="132"/>
      <c r="B670" s="132"/>
      <c r="C670" s="133"/>
      <c r="D670" s="133"/>
      <c r="E670" s="133"/>
      <c r="F670" s="133"/>
      <c r="G670" s="134"/>
      <c r="H670" s="134"/>
      <c r="I670" s="134"/>
    </row>
    <row r="671" spans="1:9" ht="14.25" customHeight="1" x14ac:dyDescent="0.45">
      <c r="A671" s="132"/>
      <c r="B671" s="132"/>
      <c r="C671" s="133"/>
      <c r="D671" s="133"/>
      <c r="E671" s="133"/>
      <c r="F671" s="133"/>
      <c r="G671" s="134"/>
      <c r="H671" s="134"/>
      <c r="I671" s="134"/>
    </row>
    <row r="672" spans="1:9" ht="14.25" customHeight="1" x14ac:dyDescent="0.45">
      <c r="A672" s="132"/>
      <c r="B672" s="132"/>
      <c r="C672" s="133"/>
      <c r="D672" s="133"/>
      <c r="E672" s="133"/>
      <c r="F672" s="133"/>
      <c r="G672" s="134"/>
      <c r="H672" s="134"/>
      <c r="I672" s="134"/>
    </row>
    <row r="673" spans="1:9" ht="14.25" customHeight="1" x14ac:dyDescent="0.45">
      <c r="A673" s="132"/>
      <c r="B673" s="132"/>
      <c r="C673" s="133"/>
      <c r="D673" s="133"/>
      <c r="E673" s="133"/>
      <c r="F673" s="133"/>
      <c r="G673" s="134"/>
      <c r="H673" s="134"/>
      <c r="I673" s="134"/>
    </row>
    <row r="674" spans="1:9" ht="14.25" customHeight="1" x14ac:dyDescent="0.45">
      <c r="A674" s="132"/>
      <c r="B674" s="132"/>
      <c r="C674" s="133"/>
      <c r="D674" s="133"/>
      <c r="E674" s="133"/>
      <c r="F674" s="133"/>
      <c r="G674" s="134"/>
      <c r="H674" s="134"/>
      <c r="I674" s="134"/>
    </row>
    <row r="675" spans="1:9" ht="14.25" customHeight="1" x14ac:dyDescent="0.45">
      <c r="A675" s="132"/>
      <c r="B675" s="132"/>
      <c r="C675" s="133"/>
      <c r="D675" s="133"/>
      <c r="E675" s="133"/>
      <c r="F675" s="133"/>
      <c r="G675" s="134"/>
      <c r="H675" s="134"/>
      <c r="I675" s="134"/>
    </row>
    <row r="676" spans="1:9" ht="14.25" customHeight="1" x14ac:dyDescent="0.45">
      <c r="A676" s="132"/>
      <c r="B676" s="132"/>
      <c r="C676" s="133"/>
      <c r="D676" s="133"/>
      <c r="E676" s="133"/>
      <c r="F676" s="133"/>
      <c r="G676" s="134"/>
      <c r="H676" s="134"/>
      <c r="I676" s="134"/>
    </row>
    <row r="677" spans="1:9" ht="14.25" customHeight="1" x14ac:dyDescent="0.45">
      <c r="A677" s="132"/>
      <c r="B677" s="132"/>
      <c r="C677" s="133"/>
      <c r="D677" s="133"/>
      <c r="E677" s="133"/>
      <c r="F677" s="133"/>
      <c r="G677" s="134"/>
      <c r="H677" s="134"/>
      <c r="I677" s="134"/>
    </row>
    <row r="678" spans="1:9" ht="14.25" customHeight="1" x14ac:dyDescent="0.45">
      <c r="A678" s="132"/>
      <c r="B678" s="132"/>
      <c r="C678" s="133"/>
      <c r="D678" s="133"/>
      <c r="E678" s="133"/>
      <c r="F678" s="133"/>
      <c r="G678" s="134"/>
      <c r="H678" s="134"/>
      <c r="I678" s="134"/>
    </row>
    <row r="679" spans="1:9" ht="14.25" customHeight="1" x14ac:dyDescent="0.45">
      <c r="A679" s="132"/>
      <c r="B679" s="132"/>
      <c r="C679" s="133"/>
      <c r="D679" s="133"/>
      <c r="E679" s="133"/>
      <c r="F679" s="133"/>
      <c r="G679" s="134"/>
      <c r="H679" s="134"/>
      <c r="I679" s="134"/>
    </row>
    <row r="680" spans="1:9" ht="14.25" customHeight="1" x14ac:dyDescent="0.45">
      <c r="A680" s="132"/>
      <c r="B680" s="132"/>
      <c r="C680" s="133"/>
      <c r="D680" s="133"/>
      <c r="E680" s="133"/>
      <c r="F680" s="133"/>
      <c r="G680" s="134"/>
      <c r="H680" s="134"/>
      <c r="I680" s="134"/>
    </row>
    <row r="681" spans="1:9" ht="14.25" customHeight="1" x14ac:dyDescent="0.45">
      <c r="A681" s="132"/>
      <c r="B681" s="132"/>
      <c r="C681" s="133"/>
      <c r="D681" s="133"/>
      <c r="E681" s="133"/>
      <c r="F681" s="133"/>
      <c r="G681" s="134"/>
      <c r="H681" s="134"/>
      <c r="I681" s="134"/>
    </row>
    <row r="682" spans="1:9" ht="14.25" customHeight="1" x14ac:dyDescent="0.45">
      <c r="A682" s="132"/>
      <c r="B682" s="132"/>
      <c r="C682" s="133"/>
      <c r="D682" s="133"/>
      <c r="E682" s="133"/>
      <c r="F682" s="133"/>
      <c r="G682" s="134"/>
      <c r="H682" s="134"/>
      <c r="I682" s="134"/>
    </row>
    <row r="683" spans="1:9" ht="14.25" customHeight="1" x14ac:dyDescent="0.45">
      <c r="A683" s="132"/>
      <c r="B683" s="132"/>
      <c r="C683" s="133"/>
      <c r="D683" s="133"/>
      <c r="E683" s="133"/>
      <c r="F683" s="133"/>
      <c r="G683" s="134"/>
      <c r="H683" s="134"/>
      <c r="I683" s="134"/>
    </row>
    <row r="684" spans="1:9" ht="14.25" customHeight="1" x14ac:dyDescent="0.45">
      <c r="A684" s="132"/>
      <c r="B684" s="132"/>
      <c r="C684" s="133"/>
      <c r="D684" s="133"/>
      <c r="E684" s="133"/>
      <c r="F684" s="133"/>
      <c r="G684" s="134"/>
      <c r="H684" s="134"/>
      <c r="I684" s="134"/>
    </row>
    <row r="685" spans="1:9" ht="14.25" customHeight="1" x14ac:dyDescent="0.45">
      <c r="A685" s="132"/>
      <c r="B685" s="132"/>
      <c r="C685" s="133"/>
      <c r="D685" s="133"/>
      <c r="E685" s="133"/>
      <c r="F685" s="133"/>
      <c r="G685" s="134"/>
      <c r="H685" s="134"/>
      <c r="I685" s="134"/>
    </row>
    <row r="686" spans="1:9" ht="14.25" customHeight="1" x14ac:dyDescent="0.45">
      <c r="A686" s="132"/>
      <c r="B686" s="132"/>
      <c r="C686" s="133"/>
      <c r="D686" s="133"/>
      <c r="E686" s="133"/>
      <c r="F686" s="133"/>
      <c r="G686" s="134"/>
      <c r="H686" s="134"/>
      <c r="I686" s="134"/>
    </row>
    <row r="687" spans="1:9" ht="14.25" customHeight="1" x14ac:dyDescent="0.45">
      <c r="A687" s="132"/>
      <c r="B687" s="132"/>
      <c r="C687" s="133"/>
      <c r="D687" s="133"/>
      <c r="E687" s="133"/>
      <c r="F687" s="133"/>
      <c r="G687" s="134"/>
      <c r="H687" s="134"/>
      <c r="I687" s="134"/>
    </row>
    <row r="688" spans="1:9" ht="14.25" customHeight="1" x14ac:dyDescent="0.45">
      <c r="A688" s="132"/>
      <c r="B688" s="132"/>
      <c r="C688" s="133"/>
      <c r="D688" s="133"/>
      <c r="E688" s="133"/>
      <c r="F688" s="133"/>
      <c r="G688" s="134"/>
      <c r="H688" s="134"/>
      <c r="I688" s="134"/>
    </row>
    <row r="689" spans="1:9" ht="14.25" customHeight="1" x14ac:dyDescent="0.45">
      <c r="A689" s="132"/>
      <c r="B689" s="132"/>
      <c r="C689" s="133"/>
      <c r="D689" s="133"/>
      <c r="E689" s="133"/>
      <c r="F689" s="133"/>
      <c r="G689" s="134"/>
      <c r="H689" s="134"/>
      <c r="I689" s="134"/>
    </row>
    <row r="690" spans="1:9" ht="14.25" customHeight="1" x14ac:dyDescent="0.45">
      <c r="A690" s="132"/>
      <c r="B690" s="132"/>
      <c r="C690" s="133"/>
      <c r="D690" s="133"/>
      <c r="E690" s="133"/>
      <c r="F690" s="133"/>
      <c r="G690" s="134"/>
      <c r="H690" s="134"/>
      <c r="I690" s="134"/>
    </row>
    <row r="691" spans="1:9" ht="14.25" customHeight="1" x14ac:dyDescent="0.45">
      <c r="A691" s="132"/>
      <c r="B691" s="132"/>
      <c r="C691" s="133"/>
      <c r="D691" s="133"/>
      <c r="E691" s="133"/>
      <c r="F691" s="133"/>
      <c r="G691" s="134"/>
      <c r="H691" s="134"/>
      <c r="I691" s="134"/>
    </row>
    <row r="692" spans="1:9" ht="14.25" customHeight="1" x14ac:dyDescent="0.45">
      <c r="A692" s="132"/>
      <c r="B692" s="132"/>
      <c r="C692" s="133"/>
      <c r="D692" s="133"/>
      <c r="E692" s="133"/>
      <c r="F692" s="133"/>
      <c r="G692" s="134"/>
      <c r="H692" s="134"/>
      <c r="I692" s="134"/>
    </row>
    <row r="693" spans="1:9" ht="14.25" customHeight="1" x14ac:dyDescent="0.45">
      <c r="A693" s="132"/>
      <c r="B693" s="132"/>
      <c r="C693" s="133"/>
      <c r="D693" s="133"/>
      <c r="E693" s="133"/>
      <c r="F693" s="133"/>
      <c r="G693" s="134"/>
      <c r="H693" s="134"/>
      <c r="I693" s="134"/>
    </row>
    <row r="694" spans="1:9" ht="14.25" customHeight="1" x14ac:dyDescent="0.45">
      <c r="A694" s="132"/>
      <c r="B694" s="132"/>
      <c r="C694" s="133"/>
      <c r="D694" s="133"/>
      <c r="E694" s="133"/>
      <c r="F694" s="133"/>
      <c r="G694" s="134"/>
      <c r="H694" s="134"/>
      <c r="I694" s="134"/>
    </row>
    <row r="695" spans="1:9" ht="14.25" customHeight="1" x14ac:dyDescent="0.45">
      <c r="A695" s="132"/>
      <c r="B695" s="132"/>
      <c r="C695" s="133"/>
      <c r="D695" s="133"/>
      <c r="E695" s="133"/>
      <c r="F695" s="133"/>
      <c r="G695" s="134"/>
      <c r="H695" s="134"/>
      <c r="I695" s="134"/>
    </row>
    <row r="696" spans="1:9" ht="14.25" customHeight="1" x14ac:dyDescent="0.45">
      <c r="A696" s="132"/>
      <c r="B696" s="132"/>
      <c r="C696" s="133"/>
      <c r="D696" s="133"/>
      <c r="E696" s="133"/>
      <c r="F696" s="133"/>
      <c r="G696" s="134"/>
      <c r="H696" s="134"/>
      <c r="I696" s="134"/>
    </row>
    <row r="697" spans="1:9" ht="14.25" customHeight="1" x14ac:dyDescent="0.45">
      <c r="A697" s="132"/>
      <c r="B697" s="132"/>
      <c r="C697" s="133"/>
      <c r="D697" s="133"/>
      <c r="E697" s="133"/>
      <c r="F697" s="133"/>
      <c r="G697" s="134"/>
      <c r="H697" s="134"/>
      <c r="I697" s="134"/>
    </row>
    <row r="698" spans="1:9" ht="14.25" customHeight="1" x14ac:dyDescent="0.45">
      <c r="A698" s="132"/>
      <c r="B698" s="132"/>
      <c r="C698" s="133"/>
      <c r="D698" s="133"/>
      <c r="E698" s="133"/>
      <c r="F698" s="133"/>
      <c r="G698" s="134"/>
      <c r="H698" s="134"/>
      <c r="I698" s="134"/>
    </row>
    <row r="699" spans="1:9" ht="14.25" customHeight="1" x14ac:dyDescent="0.45">
      <c r="A699" s="132"/>
      <c r="B699" s="132"/>
      <c r="C699" s="133"/>
      <c r="D699" s="133"/>
      <c r="E699" s="133"/>
      <c r="F699" s="133"/>
      <c r="G699" s="134"/>
      <c r="H699" s="134"/>
      <c r="I699" s="134"/>
    </row>
    <row r="700" spans="1:9" ht="14.25" customHeight="1" x14ac:dyDescent="0.45">
      <c r="A700" s="132"/>
      <c r="B700" s="132"/>
      <c r="C700" s="133"/>
      <c r="D700" s="133"/>
      <c r="E700" s="133"/>
      <c r="F700" s="133"/>
      <c r="G700" s="134"/>
      <c r="H700" s="134"/>
      <c r="I700" s="134"/>
    </row>
    <row r="701" spans="1:9" ht="14.25" customHeight="1" x14ac:dyDescent="0.45">
      <c r="A701" s="132"/>
      <c r="B701" s="132"/>
      <c r="C701" s="133"/>
      <c r="D701" s="133"/>
      <c r="E701" s="133"/>
      <c r="F701" s="133"/>
      <c r="G701" s="134"/>
      <c r="H701" s="134"/>
      <c r="I701" s="134"/>
    </row>
    <row r="702" spans="1:9" ht="14.25" customHeight="1" x14ac:dyDescent="0.45">
      <c r="A702" s="132"/>
      <c r="B702" s="132"/>
      <c r="C702" s="133"/>
      <c r="D702" s="133"/>
      <c r="E702" s="133"/>
      <c r="F702" s="133"/>
      <c r="G702" s="134"/>
      <c r="H702" s="134"/>
      <c r="I702" s="134"/>
    </row>
    <row r="703" spans="1:9" ht="14.25" customHeight="1" x14ac:dyDescent="0.45">
      <c r="A703" s="132"/>
      <c r="B703" s="132"/>
      <c r="C703" s="133"/>
      <c r="D703" s="133"/>
      <c r="E703" s="133"/>
      <c r="F703" s="133"/>
      <c r="G703" s="134"/>
      <c r="H703" s="134"/>
      <c r="I703" s="134"/>
    </row>
    <row r="704" spans="1:9" ht="14.25" customHeight="1" x14ac:dyDescent="0.45">
      <c r="A704" s="132"/>
      <c r="B704" s="132"/>
      <c r="C704" s="133"/>
      <c r="D704" s="133"/>
      <c r="E704" s="133"/>
      <c r="F704" s="133"/>
      <c r="G704" s="134"/>
      <c r="H704" s="134"/>
      <c r="I704" s="134"/>
    </row>
    <row r="705" spans="1:9" ht="14.25" customHeight="1" x14ac:dyDescent="0.45">
      <c r="A705" s="132"/>
      <c r="B705" s="132"/>
      <c r="C705" s="133"/>
      <c r="D705" s="133"/>
      <c r="E705" s="133"/>
      <c r="F705" s="133"/>
      <c r="G705" s="134"/>
      <c r="H705" s="134"/>
      <c r="I705" s="134"/>
    </row>
    <row r="706" spans="1:9" ht="14.25" customHeight="1" x14ac:dyDescent="0.45">
      <c r="A706" s="132"/>
      <c r="B706" s="132"/>
      <c r="C706" s="133"/>
      <c r="D706" s="133"/>
      <c r="E706" s="133"/>
      <c r="F706" s="133"/>
      <c r="G706" s="134"/>
      <c r="H706" s="134"/>
      <c r="I706" s="134"/>
    </row>
    <row r="707" spans="1:9" ht="14.25" customHeight="1" x14ac:dyDescent="0.45">
      <c r="A707" s="132"/>
      <c r="B707" s="132"/>
      <c r="C707" s="133"/>
      <c r="D707" s="133"/>
      <c r="E707" s="133"/>
      <c r="F707" s="133"/>
      <c r="G707" s="134"/>
      <c r="H707" s="134"/>
      <c r="I707" s="134"/>
    </row>
    <row r="708" spans="1:9" ht="14.25" customHeight="1" x14ac:dyDescent="0.45">
      <c r="A708" s="132"/>
      <c r="B708" s="132"/>
      <c r="C708" s="133"/>
      <c r="D708" s="133"/>
      <c r="E708" s="133"/>
      <c r="F708" s="133"/>
      <c r="G708" s="134"/>
      <c r="H708" s="134"/>
      <c r="I708" s="134"/>
    </row>
    <row r="709" spans="1:9" ht="14.25" customHeight="1" x14ac:dyDescent="0.45">
      <c r="A709" s="132"/>
      <c r="B709" s="132"/>
      <c r="C709" s="133"/>
      <c r="D709" s="133"/>
      <c r="E709" s="133"/>
      <c r="F709" s="133"/>
      <c r="G709" s="134"/>
      <c r="H709" s="134"/>
      <c r="I709" s="134"/>
    </row>
    <row r="710" spans="1:9" ht="14.25" customHeight="1" x14ac:dyDescent="0.45">
      <c r="A710" s="132"/>
      <c r="B710" s="132"/>
      <c r="C710" s="133"/>
      <c r="D710" s="133"/>
      <c r="E710" s="133"/>
      <c r="F710" s="133"/>
      <c r="G710" s="134"/>
      <c r="H710" s="134"/>
      <c r="I710" s="134"/>
    </row>
    <row r="711" spans="1:9" ht="14.25" customHeight="1" x14ac:dyDescent="0.45">
      <c r="A711" s="132"/>
      <c r="B711" s="132"/>
      <c r="C711" s="133"/>
      <c r="D711" s="133"/>
      <c r="E711" s="133"/>
      <c r="F711" s="133"/>
      <c r="G711" s="134"/>
      <c r="H711" s="134"/>
      <c r="I711" s="134"/>
    </row>
    <row r="712" spans="1:9" ht="14.25" customHeight="1" x14ac:dyDescent="0.45">
      <c r="A712" s="132"/>
      <c r="B712" s="132"/>
      <c r="C712" s="133"/>
      <c r="D712" s="133"/>
      <c r="E712" s="133"/>
      <c r="F712" s="133"/>
      <c r="G712" s="134"/>
      <c r="H712" s="134"/>
      <c r="I712" s="134"/>
    </row>
    <row r="713" spans="1:9" ht="14.25" customHeight="1" x14ac:dyDescent="0.45">
      <c r="A713" s="132"/>
      <c r="B713" s="132"/>
      <c r="C713" s="133"/>
      <c r="D713" s="133"/>
      <c r="E713" s="133"/>
      <c r="F713" s="133"/>
      <c r="G713" s="134"/>
      <c r="H713" s="134"/>
      <c r="I713" s="134"/>
    </row>
    <row r="714" spans="1:9" ht="14.25" customHeight="1" x14ac:dyDescent="0.45">
      <c r="A714" s="132"/>
      <c r="B714" s="132"/>
      <c r="C714" s="133"/>
      <c r="D714" s="133"/>
      <c r="E714" s="133"/>
      <c r="F714" s="133"/>
      <c r="G714" s="134"/>
      <c r="H714" s="134"/>
      <c r="I714" s="134"/>
    </row>
    <row r="715" spans="1:9" ht="14.25" customHeight="1" x14ac:dyDescent="0.45">
      <c r="A715" s="132"/>
      <c r="B715" s="132"/>
      <c r="C715" s="133"/>
      <c r="D715" s="133"/>
      <c r="E715" s="133"/>
      <c r="F715" s="133"/>
      <c r="G715" s="134"/>
      <c r="H715" s="134"/>
      <c r="I715" s="134"/>
    </row>
    <row r="716" spans="1:9" ht="14.25" customHeight="1" x14ac:dyDescent="0.45">
      <c r="A716" s="132"/>
      <c r="B716" s="132"/>
      <c r="C716" s="133"/>
      <c r="D716" s="133"/>
      <c r="E716" s="133"/>
      <c r="F716" s="133"/>
      <c r="G716" s="134"/>
      <c r="H716" s="134"/>
      <c r="I716" s="134"/>
    </row>
    <row r="717" spans="1:9" ht="14.25" customHeight="1" x14ac:dyDescent="0.45">
      <c r="A717" s="132"/>
      <c r="B717" s="132"/>
      <c r="C717" s="133"/>
      <c r="D717" s="133"/>
      <c r="E717" s="133"/>
      <c r="F717" s="133"/>
      <c r="G717" s="134"/>
      <c r="H717" s="134"/>
      <c r="I717" s="134"/>
    </row>
    <row r="718" spans="1:9" ht="14.25" customHeight="1" x14ac:dyDescent="0.45">
      <c r="A718" s="132"/>
      <c r="B718" s="132"/>
      <c r="C718" s="133"/>
      <c r="D718" s="133"/>
      <c r="E718" s="133"/>
      <c r="F718" s="133"/>
      <c r="G718" s="134"/>
      <c r="H718" s="134"/>
      <c r="I718" s="134"/>
    </row>
    <row r="719" spans="1:9" ht="14.25" customHeight="1" x14ac:dyDescent="0.45">
      <c r="A719" s="132"/>
      <c r="B719" s="132"/>
      <c r="C719" s="133"/>
      <c r="D719" s="133"/>
      <c r="E719" s="133"/>
      <c r="F719" s="133"/>
      <c r="G719" s="134"/>
      <c r="H719" s="134"/>
      <c r="I719" s="134"/>
    </row>
    <row r="720" spans="1:9" ht="14.25" customHeight="1" x14ac:dyDescent="0.45">
      <c r="A720" s="132"/>
      <c r="B720" s="132"/>
      <c r="C720" s="133"/>
      <c r="D720" s="133"/>
      <c r="E720" s="133"/>
      <c r="F720" s="133"/>
      <c r="G720" s="134"/>
      <c r="H720" s="134"/>
      <c r="I720" s="134"/>
    </row>
    <row r="721" spans="1:9" ht="14.25" customHeight="1" x14ac:dyDescent="0.45">
      <c r="A721" s="132"/>
      <c r="B721" s="132"/>
      <c r="C721" s="133"/>
      <c r="D721" s="133"/>
      <c r="E721" s="133"/>
      <c r="F721" s="133"/>
      <c r="G721" s="134"/>
      <c r="H721" s="134"/>
      <c r="I721" s="134"/>
    </row>
    <row r="722" spans="1:9" ht="14.25" customHeight="1" x14ac:dyDescent="0.45">
      <c r="A722" s="132"/>
      <c r="B722" s="132"/>
      <c r="C722" s="133"/>
      <c r="D722" s="133"/>
      <c r="E722" s="133"/>
      <c r="F722" s="133"/>
      <c r="G722" s="134"/>
      <c r="H722" s="134"/>
      <c r="I722" s="134"/>
    </row>
    <row r="723" spans="1:9" ht="14.25" customHeight="1" x14ac:dyDescent="0.45">
      <c r="A723" s="132"/>
      <c r="B723" s="132"/>
      <c r="C723" s="133"/>
      <c r="D723" s="133"/>
      <c r="E723" s="133"/>
      <c r="F723" s="133"/>
      <c r="G723" s="134"/>
      <c r="H723" s="134"/>
      <c r="I723" s="134"/>
    </row>
    <row r="724" spans="1:9" ht="14.25" customHeight="1" x14ac:dyDescent="0.45">
      <c r="A724" s="132"/>
      <c r="B724" s="132"/>
      <c r="C724" s="133"/>
      <c r="D724" s="133"/>
      <c r="E724" s="133"/>
      <c r="F724" s="133"/>
      <c r="G724" s="134"/>
      <c r="H724" s="134"/>
      <c r="I724" s="134"/>
    </row>
    <row r="725" spans="1:9" ht="14.25" customHeight="1" x14ac:dyDescent="0.45">
      <c r="A725" s="132"/>
      <c r="B725" s="132"/>
      <c r="C725" s="133"/>
      <c r="D725" s="133"/>
      <c r="E725" s="133"/>
      <c r="F725" s="133"/>
      <c r="G725" s="134"/>
      <c r="H725" s="134"/>
      <c r="I725" s="134"/>
    </row>
    <row r="726" spans="1:9" ht="14.25" customHeight="1" x14ac:dyDescent="0.45">
      <c r="A726" s="132"/>
      <c r="B726" s="132"/>
      <c r="C726" s="133"/>
      <c r="D726" s="133"/>
      <c r="E726" s="133"/>
      <c r="F726" s="133"/>
      <c r="G726" s="134"/>
      <c r="H726" s="134"/>
      <c r="I726" s="134"/>
    </row>
    <row r="727" spans="1:9" ht="14.25" customHeight="1" x14ac:dyDescent="0.45">
      <c r="A727" s="132"/>
      <c r="B727" s="132"/>
      <c r="C727" s="133"/>
      <c r="D727" s="133"/>
      <c r="E727" s="133"/>
      <c r="F727" s="133"/>
      <c r="G727" s="134"/>
      <c r="H727" s="134"/>
      <c r="I727" s="134"/>
    </row>
    <row r="728" spans="1:9" ht="14.25" customHeight="1" x14ac:dyDescent="0.45">
      <c r="A728" s="132"/>
      <c r="B728" s="132"/>
      <c r="C728" s="133"/>
      <c r="D728" s="133"/>
      <c r="E728" s="133"/>
      <c r="F728" s="133"/>
      <c r="G728" s="134"/>
      <c r="H728" s="134"/>
      <c r="I728" s="134"/>
    </row>
    <row r="729" spans="1:9" ht="14.25" customHeight="1" x14ac:dyDescent="0.45">
      <c r="A729" s="132"/>
      <c r="B729" s="132"/>
      <c r="C729" s="133"/>
      <c r="D729" s="133"/>
      <c r="E729" s="133"/>
      <c r="F729" s="133"/>
      <c r="G729" s="134"/>
      <c r="H729" s="134"/>
      <c r="I729" s="134"/>
    </row>
    <row r="730" spans="1:9" ht="14.25" customHeight="1" x14ac:dyDescent="0.45">
      <c r="A730" s="132"/>
      <c r="B730" s="132"/>
      <c r="C730" s="133"/>
      <c r="D730" s="133"/>
      <c r="E730" s="133"/>
      <c r="F730" s="133"/>
      <c r="G730" s="134"/>
      <c r="H730" s="134"/>
      <c r="I730" s="134"/>
    </row>
    <row r="731" spans="1:9" ht="14.25" customHeight="1" x14ac:dyDescent="0.45">
      <c r="A731" s="132"/>
      <c r="B731" s="132"/>
      <c r="C731" s="133"/>
      <c r="D731" s="133"/>
      <c r="E731" s="133"/>
      <c r="F731" s="133"/>
      <c r="G731" s="134"/>
      <c r="H731" s="134"/>
      <c r="I731" s="134"/>
    </row>
    <row r="732" spans="1:9" ht="14.25" customHeight="1" x14ac:dyDescent="0.45">
      <c r="A732" s="132"/>
      <c r="B732" s="132"/>
      <c r="C732" s="133"/>
      <c r="D732" s="133"/>
      <c r="E732" s="133"/>
      <c r="F732" s="133"/>
      <c r="G732" s="134"/>
      <c r="H732" s="134"/>
      <c r="I732" s="134"/>
    </row>
    <row r="733" spans="1:9" ht="14.25" customHeight="1" x14ac:dyDescent="0.45">
      <c r="A733" s="132"/>
      <c r="B733" s="132"/>
      <c r="C733" s="133"/>
      <c r="D733" s="133"/>
      <c r="E733" s="133"/>
      <c r="F733" s="133"/>
      <c r="G733" s="134"/>
      <c r="H733" s="134"/>
      <c r="I733" s="134"/>
    </row>
    <row r="734" spans="1:9" ht="14.25" customHeight="1" x14ac:dyDescent="0.45">
      <c r="A734" s="132"/>
      <c r="B734" s="132"/>
      <c r="C734" s="133"/>
      <c r="D734" s="133"/>
      <c r="E734" s="133"/>
      <c r="F734" s="133"/>
      <c r="G734" s="134"/>
      <c r="H734" s="134"/>
      <c r="I734" s="134"/>
    </row>
    <row r="735" spans="1:9" ht="14.25" customHeight="1" x14ac:dyDescent="0.45">
      <c r="A735" s="132"/>
      <c r="B735" s="132"/>
      <c r="C735" s="133"/>
      <c r="D735" s="133"/>
      <c r="E735" s="133"/>
      <c r="F735" s="133"/>
      <c r="G735" s="134"/>
      <c r="H735" s="134"/>
      <c r="I735" s="134"/>
    </row>
    <row r="736" spans="1:9" ht="14.25" customHeight="1" x14ac:dyDescent="0.45">
      <c r="A736" s="132"/>
      <c r="B736" s="132"/>
      <c r="C736" s="133"/>
      <c r="D736" s="133"/>
      <c r="E736" s="133"/>
      <c r="F736" s="133"/>
      <c r="G736" s="134"/>
      <c r="H736" s="134"/>
      <c r="I736" s="134"/>
    </row>
    <row r="737" spans="1:9" ht="14.25" customHeight="1" x14ac:dyDescent="0.45">
      <c r="A737" s="132"/>
      <c r="B737" s="132"/>
      <c r="C737" s="133"/>
      <c r="D737" s="133"/>
      <c r="E737" s="133"/>
      <c r="F737" s="133"/>
      <c r="G737" s="134"/>
      <c r="H737" s="134"/>
      <c r="I737" s="134"/>
    </row>
    <row r="738" spans="1:9" ht="14.25" customHeight="1" x14ac:dyDescent="0.45">
      <c r="A738" s="132"/>
      <c r="B738" s="132"/>
      <c r="C738" s="133"/>
      <c r="D738" s="133"/>
      <c r="E738" s="133"/>
      <c r="F738" s="133"/>
      <c r="G738" s="134"/>
      <c r="H738" s="134"/>
      <c r="I738" s="134"/>
    </row>
    <row r="739" spans="1:9" ht="14.25" customHeight="1" x14ac:dyDescent="0.45">
      <c r="A739" s="132"/>
      <c r="B739" s="132"/>
      <c r="C739" s="133"/>
      <c r="D739" s="133"/>
      <c r="E739" s="133"/>
      <c r="F739" s="133"/>
      <c r="G739" s="134"/>
      <c r="H739" s="134"/>
      <c r="I739" s="134"/>
    </row>
    <row r="740" spans="1:9" ht="14.25" customHeight="1" x14ac:dyDescent="0.45">
      <c r="A740" s="132"/>
      <c r="B740" s="132"/>
      <c r="C740" s="133"/>
      <c r="D740" s="133"/>
      <c r="E740" s="133"/>
      <c r="F740" s="133"/>
      <c r="G740" s="134"/>
      <c r="H740" s="134"/>
      <c r="I740" s="134"/>
    </row>
    <row r="741" spans="1:9" ht="14.25" customHeight="1" x14ac:dyDescent="0.45">
      <c r="A741" s="132"/>
      <c r="B741" s="132"/>
      <c r="C741" s="133"/>
      <c r="D741" s="133"/>
      <c r="E741" s="133"/>
      <c r="F741" s="133"/>
      <c r="G741" s="134"/>
      <c r="H741" s="134"/>
      <c r="I741" s="134"/>
    </row>
    <row r="742" spans="1:9" ht="14.25" customHeight="1" x14ac:dyDescent="0.45">
      <c r="A742" s="132"/>
      <c r="B742" s="132"/>
      <c r="C742" s="133"/>
      <c r="D742" s="133"/>
      <c r="E742" s="133"/>
      <c r="F742" s="133"/>
      <c r="G742" s="134"/>
      <c r="H742" s="134"/>
      <c r="I742" s="134"/>
    </row>
    <row r="743" spans="1:9" ht="14.25" customHeight="1" x14ac:dyDescent="0.45">
      <c r="A743" s="132"/>
      <c r="B743" s="132"/>
      <c r="C743" s="133"/>
      <c r="D743" s="133"/>
      <c r="E743" s="133"/>
      <c r="F743" s="133"/>
      <c r="G743" s="134"/>
      <c r="H743" s="134"/>
      <c r="I743" s="134"/>
    </row>
    <row r="744" spans="1:9" ht="14.25" customHeight="1" x14ac:dyDescent="0.45">
      <c r="A744" s="132"/>
      <c r="B744" s="132"/>
      <c r="C744" s="133"/>
      <c r="D744" s="133"/>
      <c r="E744" s="133"/>
      <c r="F744" s="133"/>
      <c r="G744" s="134"/>
      <c r="H744" s="134"/>
      <c r="I744" s="134"/>
    </row>
    <row r="745" spans="1:9" ht="14.25" customHeight="1" x14ac:dyDescent="0.45">
      <c r="A745" s="132"/>
      <c r="B745" s="132"/>
      <c r="C745" s="133"/>
      <c r="D745" s="133"/>
      <c r="E745" s="133"/>
      <c r="F745" s="133"/>
      <c r="G745" s="134"/>
      <c r="H745" s="134"/>
      <c r="I745" s="134"/>
    </row>
    <row r="746" spans="1:9" ht="14.25" customHeight="1" x14ac:dyDescent="0.45">
      <c r="A746" s="132"/>
      <c r="B746" s="132"/>
      <c r="C746" s="133"/>
      <c r="D746" s="133"/>
      <c r="E746" s="133"/>
      <c r="F746" s="133"/>
      <c r="G746" s="134"/>
      <c r="H746" s="134"/>
      <c r="I746" s="134"/>
    </row>
    <row r="747" spans="1:9" ht="14.25" customHeight="1" x14ac:dyDescent="0.45">
      <c r="A747" s="132"/>
      <c r="B747" s="132"/>
      <c r="C747" s="133"/>
      <c r="D747" s="133"/>
      <c r="E747" s="133"/>
      <c r="F747" s="133"/>
      <c r="G747" s="134"/>
      <c r="H747" s="134"/>
      <c r="I747" s="134"/>
    </row>
    <row r="748" spans="1:9" ht="14.25" customHeight="1" x14ac:dyDescent="0.45">
      <c r="A748" s="132"/>
      <c r="B748" s="132"/>
      <c r="C748" s="133"/>
      <c r="D748" s="133"/>
      <c r="E748" s="133"/>
      <c r="F748" s="133"/>
      <c r="G748" s="134"/>
      <c r="H748" s="134"/>
      <c r="I748" s="134"/>
    </row>
    <row r="749" spans="1:9" ht="14.25" customHeight="1" x14ac:dyDescent="0.45">
      <c r="A749" s="132"/>
      <c r="B749" s="132"/>
      <c r="C749" s="133"/>
      <c r="D749" s="133"/>
      <c r="E749" s="133"/>
      <c r="F749" s="133"/>
      <c r="G749" s="134"/>
      <c r="H749" s="134"/>
      <c r="I749" s="134"/>
    </row>
    <row r="750" spans="1:9" ht="14.25" customHeight="1" x14ac:dyDescent="0.45">
      <c r="A750" s="132"/>
      <c r="B750" s="132"/>
      <c r="C750" s="133"/>
      <c r="D750" s="133"/>
      <c r="E750" s="133"/>
      <c r="F750" s="133"/>
      <c r="G750" s="134"/>
      <c r="H750" s="134"/>
      <c r="I750" s="134"/>
    </row>
    <row r="751" spans="1:9" ht="14.25" customHeight="1" x14ac:dyDescent="0.45">
      <c r="A751" s="132"/>
      <c r="B751" s="132"/>
      <c r="C751" s="133"/>
      <c r="D751" s="133"/>
      <c r="E751" s="133"/>
      <c r="F751" s="133"/>
      <c r="G751" s="134"/>
      <c r="H751" s="134"/>
      <c r="I751" s="134"/>
    </row>
    <row r="752" spans="1:9" ht="14.25" customHeight="1" x14ac:dyDescent="0.45">
      <c r="A752" s="132"/>
      <c r="B752" s="132"/>
      <c r="C752" s="133"/>
      <c r="D752" s="133"/>
      <c r="E752" s="133"/>
      <c r="F752" s="133"/>
      <c r="G752" s="134"/>
      <c r="H752" s="134"/>
      <c r="I752" s="134"/>
    </row>
    <row r="753" spans="1:9" ht="14.25" customHeight="1" x14ac:dyDescent="0.45">
      <c r="A753" s="132"/>
      <c r="B753" s="132"/>
      <c r="C753" s="133"/>
      <c r="D753" s="133"/>
      <c r="E753" s="133"/>
      <c r="F753" s="133"/>
      <c r="G753" s="134"/>
      <c r="H753" s="134"/>
      <c r="I753" s="134"/>
    </row>
    <row r="754" spans="1:9" ht="14.25" customHeight="1" x14ac:dyDescent="0.45">
      <c r="A754" s="132"/>
      <c r="B754" s="132"/>
      <c r="C754" s="133"/>
      <c r="D754" s="133"/>
      <c r="E754" s="133"/>
      <c r="F754" s="133"/>
      <c r="G754" s="134"/>
      <c r="H754" s="134"/>
      <c r="I754" s="134"/>
    </row>
    <row r="755" spans="1:9" ht="14.25" customHeight="1" x14ac:dyDescent="0.45">
      <c r="A755" s="132"/>
      <c r="B755" s="132"/>
      <c r="C755" s="133"/>
      <c r="D755" s="133"/>
      <c r="E755" s="133"/>
      <c r="F755" s="133"/>
      <c r="G755" s="134"/>
      <c r="H755" s="134"/>
      <c r="I755" s="134"/>
    </row>
    <row r="756" spans="1:9" ht="14.25" customHeight="1" x14ac:dyDescent="0.45">
      <c r="A756" s="132"/>
      <c r="B756" s="132"/>
      <c r="C756" s="133"/>
      <c r="D756" s="133"/>
      <c r="E756" s="133"/>
      <c r="F756" s="133"/>
      <c r="G756" s="134"/>
      <c r="H756" s="134"/>
      <c r="I756" s="134"/>
    </row>
    <row r="757" spans="1:9" ht="14.25" customHeight="1" x14ac:dyDescent="0.45">
      <c r="A757" s="132"/>
      <c r="B757" s="132"/>
      <c r="C757" s="133"/>
      <c r="D757" s="133"/>
      <c r="E757" s="133"/>
      <c r="F757" s="133"/>
      <c r="G757" s="134"/>
      <c r="H757" s="134"/>
      <c r="I757" s="134"/>
    </row>
    <row r="758" spans="1:9" ht="14.25" customHeight="1" x14ac:dyDescent="0.45">
      <c r="A758" s="132"/>
      <c r="B758" s="132"/>
      <c r="C758" s="133"/>
      <c r="D758" s="133"/>
      <c r="E758" s="133"/>
      <c r="F758" s="133"/>
      <c r="G758" s="134"/>
      <c r="H758" s="134"/>
      <c r="I758" s="134"/>
    </row>
    <row r="759" spans="1:9" ht="14.25" customHeight="1" x14ac:dyDescent="0.45">
      <c r="A759" s="132"/>
      <c r="B759" s="132"/>
      <c r="C759" s="133"/>
      <c r="D759" s="133"/>
      <c r="E759" s="133"/>
      <c r="F759" s="133"/>
      <c r="G759" s="134"/>
      <c r="H759" s="134"/>
      <c r="I759" s="134"/>
    </row>
    <row r="760" spans="1:9" ht="14.25" customHeight="1" x14ac:dyDescent="0.45">
      <c r="A760" s="132"/>
      <c r="B760" s="132"/>
      <c r="C760" s="133"/>
      <c r="D760" s="133"/>
      <c r="E760" s="133"/>
      <c r="F760" s="133"/>
      <c r="G760" s="134"/>
      <c r="H760" s="134"/>
      <c r="I760" s="134"/>
    </row>
    <row r="761" spans="1:9" ht="14.25" customHeight="1" x14ac:dyDescent="0.45">
      <c r="A761" s="132"/>
      <c r="B761" s="132"/>
      <c r="C761" s="133"/>
      <c r="D761" s="133"/>
      <c r="E761" s="133"/>
      <c r="F761" s="133"/>
      <c r="G761" s="134"/>
      <c r="H761" s="134"/>
      <c r="I761" s="134"/>
    </row>
    <row r="762" spans="1:9" ht="14.25" customHeight="1" x14ac:dyDescent="0.45">
      <c r="A762" s="132"/>
      <c r="B762" s="132"/>
      <c r="C762" s="133"/>
      <c r="D762" s="133"/>
      <c r="E762" s="133"/>
      <c r="F762" s="133"/>
      <c r="G762" s="134"/>
      <c r="H762" s="134"/>
      <c r="I762" s="134"/>
    </row>
    <row r="763" spans="1:9" ht="14.25" customHeight="1" x14ac:dyDescent="0.45">
      <c r="A763" s="132"/>
      <c r="B763" s="132"/>
      <c r="C763" s="133"/>
      <c r="D763" s="133"/>
      <c r="E763" s="133"/>
      <c r="F763" s="133"/>
      <c r="G763" s="134"/>
      <c r="H763" s="134"/>
      <c r="I763" s="134"/>
    </row>
    <row r="764" spans="1:9" ht="14.25" customHeight="1" x14ac:dyDescent="0.45">
      <c r="A764" s="132"/>
      <c r="B764" s="132"/>
      <c r="C764" s="133"/>
      <c r="D764" s="133"/>
      <c r="E764" s="133"/>
      <c r="F764" s="133"/>
      <c r="G764" s="134"/>
      <c r="H764" s="134"/>
      <c r="I764" s="134"/>
    </row>
    <row r="765" spans="1:9" ht="14.25" customHeight="1" x14ac:dyDescent="0.45">
      <c r="A765" s="132"/>
      <c r="B765" s="132"/>
      <c r="C765" s="133"/>
      <c r="D765" s="133"/>
      <c r="E765" s="133"/>
      <c r="F765" s="133"/>
      <c r="G765" s="134"/>
      <c r="H765" s="134"/>
      <c r="I765" s="134"/>
    </row>
    <row r="766" spans="1:9" ht="14.25" customHeight="1" x14ac:dyDescent="0.45">
      <c r="A766" s="132"/>
      <c r="B766" s="132"/>
      <c r="C766" s="133"/>
      <c r="D766" s="133"/>
      <c r="E766" s="133"/>
      <c r="F766" s="133"/>
      <c r="G766" s="134"/>
      <c r="H766" s="134"/>
      <c r="I766" s="134"/>
    </row>
    <row r="767" spans="1:9" ht="14.25" customHeight="1" x14ac:dyDescent="0.45">
      <c r="A767" s="132"/>
      <c r="B767" s="132"/>
      <c r="C767" s="133"/>
      <c r="D767" s="133"/>
      <c r="E767" s="133"/>
      <c r="F767" s="133"/>
      <c r="G767" s="134"/>
      <c r="H767" s="134"/>
      <c r="I767" s="134"/>
    </row>
    <row r="768" spans="1:9" ht="14.25" customHeight="1" x14ac:dyDescent="0.45">
      <c r="A768" s="132"/>
      <c r="B768" s="132"/>
      <c r="C768" s="133"/>
      <c r="D768" s="133"/>
      <c r="E768" s="133"/>
      <c r="F768" s="133"/>
      <c r="G768" s="134"/>
      <c r="H768" s="134"/>
      <c r="I768" s="134"/>
    </row>
    <row r="769" spans="1:9" ht="14.25" customHeight="1" x14ac:dyDescent="0.45">
      <c r="A769" s="132"/>
      <c r="B769" s="132"/>
      <c r="C769" s="133"/>
      <c r="D769" s="133"/>
      <c r="E769" s="133"/>
      <c r="F769" s="133"/>
      <c r="G769" s="134"/>
      <c r="H769" s="134"/>
      <c r="I769" s="134"/>
    </row>
    <row r="770" spans="1:9" ht="14.25" customHeight="1" x14ac:dyDescent="0.45">
      <c r="A770" s="132"/>
      <c r="B770" s="132"/>
      <c r="C770" s="133"/>
      <c r="D770" s="133"/>
      <c r="E770" s="133"/>
      <c r="F770" s="133"/>
      <c r="G770" s="134"/>
      <c r="H770" s="134"/>
      <c r="I770" s="134"/>
    </row>
    <row r="771" spans="1:9" ht="14.25" customHeight="1" x14ac:dyDescent="0.45">
      <c r="A771" s="132"/>
      <c r="B771" s="132"/>
      <c r="C771" s="133"/>
      <c r="D771" s="133"/>
      <c r="E771" s="133"/>
      <c r="F771" s="133"/>
      <c r="G771" s="134"/>
      <c r="H771" s="134"/>
      <c r="I771" s="134"/>
    </row>
    <row r="772" spans="1:9" ht="14.25" customHeight="1" x14ac:dyDescent="0.45">
      <c r="A772" s="132"/>
      <c r="B772" s="132"/>
      <c r="C772" s="133"/>
      <c r="D772" s="133"/>
      <c r="E772" s="133"/>
      <c r="F772" s="133"/>
      <c r="G772" s="134"/>
      <c r="H772" s="134"/>
      <c r="I772" s="134"/>
    </row>
    <row r="773" spans="1:9" ht="14.25" customHeight="1" x14ac:dyDescent="0.45">
      <c r="A773" s="132"/>
      <c r="B773" s="132"/>
      <c r="C773" s="133"/>
      <c r="D773" s="133"/>
      <c r="E773" s="133"/>
      <c r="F773" s="133"/>
      <c r="G773" s="134"/>
      <c r="H773" s="134"/>
      <c r="I773" s="134"/>
    </row>
    <row r="774" spans="1:9" ht="14.25" customHeight="1" x14ac:dyDescent="0.45">
      <c r="A774" s="132"/>
      <c r="B774" s="132"/>
      <c r="C774" s="133"/>
      <c r="D774" s="133"/>
      <c r="E774" s="133"/>
      <c r="F774" s="133"/>
      <c r="G774" s="134"/>
      <c r="H774" s="134"/>
      <c r="I774" s="134"/>
    </row>
    <row r="775" spans="1:9" ht="14.25" customHeight="1" x14ac:dyDescent="0.45">
      <c r="A775" s="132"/>
      <c r="B775" s="132"/>
      <c r="C775" s="133"/>
      <c r="D775" s="133"/>
      <c r="E775" s="133"/>
      <c r="F775" s="133"/>
      <c r="G775" s="134"/>
      <c r="H775" s="134"/>
      <c r="I775" s="134"/>
    </row>
    <row r="776" spans="1:9" ht="14.25" customHeight="1" x14ac:dyDescent="0.45">
      <c r="A776" s="132"/>
      <c r="B776" s="132"/>
      <c r="C776" s="133"/>
      <c r="D776" s="133"/>
      <c r="E776" s="133"/>
      <c r="F776" s="133"/>
      <c r="G776" s="134"/>
      <c r="H776" s="134"/>
      <c r="I776" s="134"/>
    </row>
    <row r="777" spans="1:9" ht="14.25" customHeight="1" x14ac:dyDescent="0.45">
      <c r="A777" s="132"/>
      <c r="B777" s="132"/>
      <c r="C777" s="133"/>
      <c r="D777" s="133"/>
      <c r="E777" s="133"/>
      <c r="F777" s="133"/>
      <c r="G777" s="134"/>
      <c r="H777" s="134"/>
      <c r="I777" s="134"/>
    </row>
    <row r="778" spans="1:9" ht="14.25" customHeight="1" x14ac:dyDescent="0.45">
      <c r="A778" s="132"/>
      <c r="B778" s="132"/>
      <c r="C778" s="133"/>
      <c r="D778" s="133"/>
      <c r="E778" s="133"/>
      <c r="F778" s="133"/>
      <c r="G778" s="134"/>
      <c r="H778" s="134"/>
      <c r="I778" s="134"/>
    </row>
    <row r="779" spans="1:9" ht="14.25" customHeight="1" x14ac:dyDescent="0.45">
      <c r="A779" s="132"/>
      <c r="B779" s="132"/>
      <c r="C779" s="133"/>
      <c r="D779" s="133"/>
      <c r="E779" s="133"/>
      <c r="F779" s="133"/>
      <c r="G779" s="134"/>
      <c r="H779" s="134"/>
      <c r="I779" s="134"/>
    </row>
    <row r="780" spans="1:9" ht="14.25" customHeight="1" x14ac:dyDescent="0.45">
      <c r="A780" s="132"/>
      <c r="B780" s="132"/>
      <c r="C780" s="133"/>
      <c r="D780" s="133"/>
      <c r="E780" s="133"/>
      <c r="F780" s="133"/>
      <c r="G780" s="134"/>
      <c r="H780" s="134"/>
      <c r="I780" s="134"/>
    </row>
    <row r="781" spans="1:9" ht="14.25" customHeight="1" x14ac:dyDescent="0.45">
      <c r="A781" s="132"/>
      <c r="B781" s="132"/>
      <c r="C781" s="133"/>
      <c r="D781" s="133"/>
      <c r="E781" s="133"/>
      <c r="F781" s="133"/>
      <c r="G781" s="134"/>
      <c r="H781" s="134"/>
      <c r="I781" s="134"/>
    </row>
    <row r="782" spans="1:9" ht="14.25" customHeight="1" x14ac:dyDescent="0.45">
      <c r="A782" s="132"/>
      <c r="B782" s="132"/>
      <c r="C782" s="133"/>
      <c r="D782" s="133"/>
      <c r="E782" s="133"/>
      <c r="F782" s="133"/>
      <c r="G782" s="134"/>
      <c r="H782" s="134"/>
      <c r="I782" s="134"/>
    </row>
    <row r="783" spans="1:9" ht="14.25" customHeight="1" x14ac:dyDescent="0.45">
      <c r="A783" s="132"/>
      <c r="B783" s="132"/>
      <c r="C783" s="133"/>
      <c r="D783" s="133"/>
      <c r="E783" s="133"/>
      <c r="F783" s="133"/>
      <c r="G783" s="134"/>
      <c r="H783" s="134"/>
      <c r="I783" s="134"/>
    </row>
    <row r="784" spans="1:9" ht="14.25" customHeight="1" x14ac:dyDescent="0.45">
      <c r="A784" s="132"/>
      <c r="B784" s="132"/>
      <c r="C784" s="133"/>
      <c r="D784" s="133"/>
      <c r="E784" s="133"/>
      <c r="F784" s="133"/>
      <c r="G784" s="134"/>
      <c r="H784" s="134"/>
      <c r="I784" s="134"/>
    </row>
    <row r="785" spans="1:9" ht="14.25" customHeight="1" x14ac:dyDescent="0.45">
      <c r="A785" s="132"/>
      <c r="B785" s="132"/>
      <c r="C785" s="133"/>
      <c r="D785" s="133"/>
      <c r="E785" s="133"/>
      <c r="F785" s="133"/>
      <c r="G785" s="134"/>
      <c r="H785" s="134"/>
      <c r="I785" s="134"/>
    </row>
    <row r="786" spans="1:9" ht="14.25" customHeight="1" x14ac:dyDescent="0.45">
      <c r="A786" s="132"/>
      <c r="B786" s="132"/>
      <c r="C786" s="133"/>
      <c r="D786" s="133"/>
      <c r="E786" s="133"/>
      <c r="F786" s="133"/>
      <c r="G786" s="134"/>
      <c r="H786" s="134"/>
      <c r="I786" s="134"/>
    </row>
    <row r="787" spans="1:9" ht="14.25" customHeight="1" x14ac:dyDescent="0.45">
      <c r="A787" s="132"/>
      <c r="B787" s="132"/>
      <c r="C787" s="133"/>
      <c r="D787" s="133"/>
      <c r="E787" s="133"/>
      <c r="F787" s="133"/>
      <c r="G787" s="134"/>
      <c r="H787" s="134"/>
      <c r="I787" s="134"/>
    </row>
    <row r="788" spans="1:9" ht="14.25" customHeight="1" x14ac:dyDescent="0.45">
      <c r="A788" s="132"/>
      <c r="B788" s="132"/>
      <c r="C788" s="133"/>
      <c r="D788" s="133"/>
      <c r="E788" s="133"/>
      <c r="F788" s="133"/>
      <c r="G788" s="134"/>
      <c r="H788" s="134"/>
      <c r="I788" s="134"/>
    </row>
    <row r="789" spans="1:9" ht="14.25" customHeight="1" x14ac:dyDescent="0.45">
      <c r="A789" s="132"/>
      <c r="B789" s="132"/>
      <c r="C789" s="133"/>
      <c r="D789" s="133"/>
      <c r="E789" s="133"/>
      <c r="F789" s="133"/>
      <c r="G789" s="134"/>
      <c r="H789" s="134"/>
      <c r="I789" s="134"/>
    </row>
    <row r="790" spans="1:9" ht="14.25" customHeight="1" x14ac:dyDescent="0.45">
      <c r="A790" s="132"/>
      <c r="B790" s="132"/>
      <c r="C790" s="133"/>
      <c r="D790" s="133"/>
      <c r="E790" s="133"/>
      <c r="F790" s="133"/>
      <c r="G790" s="134"/>
      <c r="H790" s="134"/>
      <c r="I790" s="134"/>
    </row>
    <row r="791" spans="1:9" ht="14.25" customHeight="1" x14ac:dyDescent="0.45">
      <c r="A791" s="132"/>
      <c r="B791" s="132"/>
      <c r="C791" s="133"/>
      <c r="D791" s="133"/>
      <c r="E791" s="133"/>
      <c r="F791" s="133"/>
      <c r="G791" s="134"/>
      <c r="H791" s="134"/>
      <c r="I791" s="134"/>
    </row>
    <row r="792" spans="1:9" ht="14.25" customHeight="1" x14ac:dyDescent="0.45">
      <c r="A792" s="132"/>
      <c r="B792" s="132"/>
      <c r="C792" s="133"/>
      <c r="D792" s="133"/>
      <c r="E792" s="133"/>
      <c r="F792" s="133"/>
      <c r="G792" s="134"/>
      <c r="H792" s="134"/>
      <c r="I792" s="134"/>
    </row>
    <row r="793" spans="1:9" ht="14.25" customHeight="1" x14ac:dyDescent="0.45">
      <c r="A793" s="132"/>
      <c r="B793" s="132"/>
      <c r="C793" s="133"/>
      <c r="D793" s="133"/>
      <c r="E793" s="133"/>
      <c r="F793" s="133"/>
      <c r="G793" s="134"/>
      <c r="H793" s="134"/>
      <c r="I793" s="134"/>
    </row>
    <row r="794" spans="1:9" ht="14.25" customHeight="1" x14ac:dyDescent="0.45">
      <c r="A794" s="132"/>
      <c r="B794" s="132"/>
      <c r="C794" s="133"/>
      <c r="D794" s="133"/>
      <c r="E794" s="133"/>
      <c r="F794" s="133"/>
      <c r="G794" s="134"/>
      <c r="H794" s="134"/>
      <c r="I794" s="134"/>
    </row>
    <row r="795" spans="1:9" ht="14.25" customHeight="1" x14ac:dyDescent="0.45">
      <c r="A795" s="132"/>
      <c r="B795" s="132"/>
      <c r="C795" s="133"/>
      <c r="D795" s="133"/>
      <c r="E795" s="133"/>
      <c r="F795" s="133"/>
      <c r="G795" s="134"/>
      <c r="H795" s="134"/>
      <c r="I795" s="134"/>
    </row>
    <row r="796" spans="1:9" ht="14.25" customHeight="1" x14ac:dyDescent="0.45">
      <c r="A796" s="132"/>
      <c r="B796" s="132"/>
      <c r="C796" s="133"/>
      <c r="D796" s="133"/>
      <c r="E796" s="133"/>
      <c r="F796" s="133"/>
      <c r="G796" s="134"/>
      <c r="H796" s="134"/>
      <c r="I796" s="134"/>
    </row>
    <row r="797" spans="1:9" ht="14.25" customHeight="1" x14ac:dyDescent="0.45">
      <c r="A797" s="132"/>
      <c r="B797" s="132"/>
      <c r="C797" s="133"/>
      <c r="D797" s="133"/>
      <c r="E797" s="133"/>
      <c r="F797" s="133"/>
      <c r="G797" s="134"/>
      <c r="H797" s="134"/>
      <c r="I797" s="134"/>
    </row>
    <row r="798" spans="1:9" ht="14.25" customHeight="1" x14ac:dyDescent="0.45">
      <c r="A798" s="132"/>
      <c r="B798" s="132"/>
      <c r="C798" s="133"/>
      <c r="D798" s="133"/>
      <c r="E798" s="133"/>
      <c r="F798" s="133"/>
      <c r="G798" s="134"/>
      <c r="H798" s="134"/>
      <c r="I798" s="134"/>
    </row>
    <row r="799" spans="1:9" ht="14.25" customHeight="1" x14ac:dyDescent="0.45">
      <c r="A799" s="132"/>
      <c r="B799" s="132"/>
      <c r="C799" s="133"/>
      <c r="D799" s="133"/>
      <c r="E799" s="133"/>
      <c r="F799" s="133"/>
      <c r="G799" s="134"/>
      <c r="H799" s="134"/>
      <c r="I799" s="134"/>
    </row>
    <row r="800" spans="1:9" ht="14.25" customHeight="1" x14ac:dyDescent="0.45">
      <c r="A800" s="132"/>
      <c r="B800" s="132"/>
      <c r="C800" s="133"/>
      <c r="D800" s="133"/>
      <c r="E800" s="133"/>
      <c r="F800" s="133"/>
      <c r="G800" s="134"/>
      <c r="H800" s="134"/>
      <c r="I800" s="134"/>
    </row>
    <row r="801" spans="1:9" ht="14.25" customHeight="1" x14ac:dyDescent="0.45">
      <c r="A801" s="132"/>
      <c r="B801" s="132"/>
      <c r="C801" s="133"/>
      <c r="D801" s="133"/>
      <c r="E801" s="133"/>
      <c r="F801" s="133"/>
      <c r="G801" s="134"/>
      <c r="H801" s="134"/>
      <c r="I801" s="134"/>
    </row>
    <row r="802" spans="1:9" ht="14.25" customHeight="1" x14ac:dyDescent="0.45">
      <c r="A802" s="132"/>
      <c r="B802" s="132"/>
      <c r="C802" s="133"/>
      <c r="D802" s="133"/>
      <c r="E802" s="133"/>
      <c r="F802" s="133"/>
      <c r="G802" s="134"/>
      <c r="H802" s="134"/>
      <c r="I802" s="134"/>
    </row>
    <row r="803" spans="1:9" ht="14.25" customHeight="1" x14ac:dyDescent="0.45">
      <c r="A803" s="132"/>
      <c r="B803" s="132"/>
      <c r="C803" s="133"/>
      <c r="D803" s="133"/>
      <c r="E803" s="133"/>
      <c r="F803" s="133"/>
      <c r="G803" s="134"/>
      <c r="H803" s="134"/>
      <c r="I803" s="134"/>
    </row>
    <row r="804" spans="1:9" ht="14.25" customHeight="1" x14ac:dyDescent="0.45">
      <c r="A804" s="132"/>
      <c r="B804" s="132"/>
      <c r="C804" s="133"/>
      <c r="D804" s="133"/>
      <c r="E804" s="133"/>
      <c r="F804" s="133"/>
      <c r="G804" s="134"/>
      <c r="H804" s="134"/>
      <c r="I804" s="134"/>
    </row>
    <row r="805" spans="1:9" ht="14.25" customHeight="1" x14ac:dyDescent="0.45">
      <c r="A805" s="132"/>
      <c r="B805" s="132"/>
      <c r="C805" s="133"/>
      <c r="D805" s="133"/>
      <c r="E805" s="133"/>
      <c r="F805" s="133"/>
      <c r="G805" s="134"/>
      <c r="H805" s="134"/>
      <c r="I805" s="134"/>
    </row>
    <row r="806" spans="1:9" ht="14.25" customHeight="1" x14ac:dyDescent="0.45">
      <c r="A806" s="132"/>
      <c r="B806" s="132"/>
      <c r="C806" s="133"/>
      <c r="D806" s="133"/>
      <c r="E806" s="133"/>
      <c r="F806" s="133"/>
      <c r="G806" s="134"/>
      <c r="H806" s="134"/>
      <c r="I806" s="134"/>
    </row>
    <row r="807" spans="1:9" ht="14.25" customHeight="1" x14ac:dyDescent="0.45">
      <c r="A807" s="132"/>
      <c r="B807" s="132"/>
      <c r="C807" s="133"/>
      <c r="D807" s="133"/>
      <c r="E807" s="133"/>
      <c r="F807" s="133"/>
      <c r="G807" s="134"/>
      <c r="H807" s="134"/>
      <c r="I807" s="134"/>
    </row>
    <row r="808" spans="1:9" ht="14.25" customHeight="1" x14ac:dyDescent="0.45">
      <c r="A808" s="132"/>
      <c r="B808" s="132"/>
      <c r="C808" s="133"/>
      <c r="D808" s="133"/>
      <c r="E808" s="133"/>
      <c r="F808" s="133"/>
      <c r="G808" s="134"/>
      <c r="H808" s="134"/>
      <c r="I808" s="134"/>
    </row>
    <row r="809" spans="1:9" ht="14.25" customHeight="1" x14ac:dyDescent="0.45">
      <c r="A809" s="132"/>
      <c r="B809" s="132"/>
      <c r="C809" s="133"/>
      <c r="D809" s="133"/>
      <c r="E809" s="133"/>
      <c r="F809" s="133"/>
      <c r="G809" s="134"/>
      <c r="H809" s="134"/>
      <c r="I809" s="134"/>
    </row>
    <row r="810" spans="1:9" ht="14.25" customHeight="1" x14ac:dyDescent="0.45">
      <c r="A810" s="132"/>
      <c r="B810" s="132"/>
      <c r="C810" s="133"/>
      <c r="D810" s="133"/>
      <c r="E810" s="133"/>
      <c r="F810" s="133"/>
      <c r="G810" s="134"/>
      <c r="H810" s="134"/>
      <c r="I810" s="134"/>
    </row>
    <row r="811" spans="1:9" ht="14.25" customHeight="1" x14ac:dyDescent="0.45">
      <c r="A811" s="132"/>
      <c r="B811" s="132"/>
      <c r="C811" s="133"/>
      <c r="D811" s="133"/>
      <c r="E811" s="133"/>
      <c r="F811" s="133"/>
      <c r="G811" s="134"/>
      <c r="H811" s="134"/>
      <c r="I811" s="134"/>
    </row>
    <row r="812" spans="1:9" ht="14.25" customHeight="1" x14ac:dyDescent="0.45">
      <c r="A812" s="132"/>
      <c r="B812" s="132"/>
      <c r="C812" s="133"/>
      <c r="D812" s="133"/>
      <c r="E812" s="133"/>
      <c r="F812" s="133"/>
      <c r="G812" s="134"/>
      <c r="H812" s="134"/>
      <c r="I812" s="134"/>
    </row>
    <row r="813" spans="1:9" ht="14.25" customHeight="1" x14ac:dyDescent="0.45">
      <c r="A813" s="132"/>
      <c r="B813" s="132"/>
      <c r="C813" s="133"/>
      <c r="D813" s="133"/>
      <c r="E813" s="133"/>
      <c r="F813" s="133"/>
      <c r="G813" s="134"/>
      <c r="H813" s="134"/>
      <c r="I813" s="134"/>
    </row>
    <row r="814" spans="1:9" ht="14.25" customHeight="1" x14ac:dyDescent="0.45">
      <c r="A814" s="132"/>
      <c r="B814" s="132"/>
      <c r="C814" s="133"/>
      <c r="D814" s="133"/>
      <c r="E814" s="133"/>
      <c r="F814" s="133"/>
      <c r="G814" s="134"/>
      <c r="H814" s="134"/>
      <c r="I814" s="134"/>
    </row>
    <row r="815" spans="1:9" ht="14.25" customHeight="1" x14ac:dyDescent="0.45">
      <c r="A815" s="132"/>
      <c r="B815" s="132"/>
      <c r="C815" s="133"/>
      <c r="D815" s="133"/>
      <c r="E815" s="133"/>
      <c r="F815" s="133"/>
      <c r="G815" s="134"/>
      <c r="H815" s="134"/>
      <c r="I815" s="134"/>
    </row>
    <row r="816" spans="1:9" ht="14.25" customHeight="1" x14ac:dyDescent="0.45">
      <c r="A816" s="132"/>
      <c r="B816" s="132"/>
      <c r="C816" s="133"/>
      <c r="D816" s="133"/>
      <c r="E816" s="133"/>
      <c r="F816" s="133"/>
      <c r="G816" s="134"/>
      <c r="H816" s="134"/>
      <c r="I816" s="134"/>
    </row>
    <row r="817" spans="1:9" ht="14.25" customHeight="1" x14ac:dyDescent="0.45">
      <c r="A817" s="132"/>
      <c r="B817" s="132"/>
      <c r="C817" s="133"/>
      <c r="D817" s="133"/>
      <c r="E817" s="133"/>
      <c r="F817" s="133"/>
      <c r="G817" s="134"/>
      <c r="H817" s="134"/>
      <c r="I817" s="134"/>
    </row>
    <row r="818" spans="1:9" ht="14.25" customHeight="1" x14ac:dyDescent="0.45">
      <c r="A818" s="132"/>
      <c r="B818" s="132"/>
      <c r="C818" s="133"/>
      <c r="D818" s="133"/>
      <c r="E818" s="133"/>
      <c r="F818" s="133"/>
      <c r="G818" s="134"/>
      <c r="H818" s="134"/>
      <c r="I818" s="134"/>
    </row>
    <row r="819" spans="1:9" ht="14.25" customHeight="1" x14ac:dyDescent="0.45">
      <c r="A819" s="132"/>
      <c r="B819" s="132"/>
      <c r="C819" s="133"/>
      <c r="D819" s="133"/>
      <c r="E819" s="133"/>
      <c r="F819" s="133"/>
      <c r="G819" s="134"/>
      <c r="H819" s="134"/>
      <c r="I819" s="134"/>
    </row>
    <row r="820" spans="1:9" ht="14.25" customHeight="1" x14ac:dyDescent="0.45">
      <c r="A820" s="132"/>
      <c r="B820" s="132"/>
      <c r="C820" s="133"/>
      <c r="D820" s="133"/>
      <c r="E820" s="133"/>
      <c r="F820" s="133"/>
      <c r="G820" s="134"/>
      <c r="H820" s="134"/>
      <c r="I820" s="134"/>
    </row>
    <row r="821" spans="1:9" ht="14.25" customHeight="1" x14ac:dyDescent="0.45">
      <c r="A821" s="132"/>
      <c r="B821" s="132"/>
      <c r="C821" s="133"/>
      <c r="D821" s="133"/>
      <c r="E821" s="133"/>
      <c r="F821" s="133"/>
      <c r="G821" s="134"/>
      <c r="H821" s="134"/>
      <c r="I821" s="134"/>
    </row>
    <row r="822" spans="1:9" ht="14.25" customHeight="1" x14ac:dyDescent="0.45">
      <c r="A822" s="132"/>
      <c r="B822" s="132"/>
      <c r="C822" s="133"/>
      <c r="D822" s="133"/>
      <c r="E822" s="133"/>
      <c r="F822" s="133"/>
      <c r="G822" s="134"/>
      <c r="H822" s="134"/>
      <c r="I822" s="134"/>
    </row>
    <row r="823" spans="1:9" ht="14.25" customHeight="1" x14ac:dyDescent="0.45">
      <c r="A823" s="132"/>
      <c r="B823" s="132"/>
      <c r="C823" s="133"/>
      <c r="D823" s="133"/>
      <c r="E823" s="133"/>
      <c r="F823" s="133"/>
      <c r="G823" s="134"/>
      <c r="H823" s="134"/>
      <c r="I823" s="134"/>
    </row>
    <row r="824" spans="1:9" ht="14.25" customHeight="1" x14ac:dyDescent="0.45">
      <c r="A824" s="132"/>
      <c r="B824" s="132"/>
      <c r="C824" s="133"/>
      <c r="D824" s="133"/>
      <c r="E824" s="133"/>
      <c r="F824" s="133"/>
      <c r="G824" s="134"/>
      <c r="H824" s="134"/>
      <c r="I824" s="134"/>
    </row>
    <row r="825" spans="1:9" ht="14.25" customHeight="1" x14ac:dyDescent="0.45">
      <c r="A825" s="132"/>
      <c r="B825" s="132"/>
      <c r="C825" s="133"/>
      <c r="D825" s="133"/>
      <c r="E825" s="133"/>
      <c r="F825" s="133"/>
      <c r="G825" s="134"/>
      <c r="H825" s="134"/>
      <c r="I825" s="134"/>
    </row>
    <row r="826" spans="1:9" ht="14.25" customHeight="1" x14ac:dyDescent="0.45">
      <c r="A826" s="132"/>
      <c r="B826" s="132"/>
      <c r="C826" s="133"/>
      <c r="D826" s="133"/>
      <c r="E826" s="133"/>
      <c r="F826" s="133"/>
      <c r="G826" s="134"/>
      <c r="H826" s="134"/>
      <c r="I826" s="134"/>
    </row>
    <row r="827" spans="1:9" ht="14.25" customHeight="1" x14ac:dyDescent="0.45">
      <c r="A827" s="132"/>
      <c r="B827" s="132"/>
      <c r="C827" s="133"/>
      <c r="D827" s="133"/>
      <c r="E827" s="133"/>
      <c r="F827" s="133"/>
      <c r="G827" s="134"/>
      <c r="H827" s="134"/>
      <c r="I827" s="134"/>
    </row>
    <row r="828" spans="1:9" ht="14.25" customHeight="1" x14ac:dyDescent="0.45">
      <c r="A828" s="132"/>
      <c r="B828" s="132"/>
      <c r="C828" s="133"/>
      <c r="D828" s="133"/>
      <c r="E828" s="133"/>
      <c r="F828" s="133"/>
      <c r="G828" s="134"/>
      <c r="H828" s="134"/>
      <c r="I828" s="134"/>
    </row>
    <row r="829" spans="1:9" ht="14.25" customHeight="1" x14ac:dyDescent="0.45">
      <c r="A829" s="132"/>
      <c r="B829" s="132"/>
      <c r="C829" s="133"/>
      <c r="D829" s="133"/>
      <c r="E829" s="133"/>
      <c r="F829" s="133"/>
      <c r="G829" s="134"/>
      <c r="H829" s="134"/>
      <c r="I829" s="134"/>
    </row>
    <row r="830" spans="1:9" ht="14.25" customHeight="1" x14ac:dyDescent="0.45">
      <c r="A830" s="132"/>
      <c r="B830" s="132"/>
      <c r="C830" s="133"/>
      <c r="D830" s="133"/>
      <c r="E830" s="133"/>
      <c r="F830" s="133"/>
      <c r="G830" s="134"/>
      <c r="H830" s="134"/>
      <c r="I830" s="134"/>
    </row>
    <row r="831" spans="1:9" ht="14.25" customHeight="1" x14ac:dyDescent="0.45">
      <c r="A831" s="132"/>
      <c r="B831" s="132"/>
      <c r="C831" s="133"/>
      <c r="D831" s="133"/>
      <c r="E831" s="133"/>
      <c r="F831" s="133"/>
      <c r="G831" s="134"/>
      <c r="H831" s="134"/>
      <c r="I831" s="134"/>
    </row>
    <row r="832" spans="1:9" ht="14.25" customHeight="1" x14ac:dyDescent="0.45">
      <c r="A832" s="132"/>
      <c r="B832" s="132"/>
      <c r="C832" s="133"/>
      <c r="D832" s="133"/>
      <c r="E832" s="133"/>
      <c r="F832" s="133"/>
      <c r="G832" s="134"/>
      <c r="H832" s="134"/>
      <c r="I832" s="134"/>
    </row>
    <row r="833" spans="1:9" ht="14.25" customHeight="1" x14ac:dyDescent="0.45">
      <c r="A833" s="132"/>
      <c r="B833" s="132"/>
      <c r="C833" s="133"/>
      <c r="D833" s="133"/>
      <c r="E833" s="133"/>
      <c r="F833" s="133"/>
      <c r="G833" s="134"/>
      <c r="H833" s="134"/>
      <c r="I833" s="134"/>
    </row>
    <row r="834" spans="1:9" ht="14.25" customHeight="1" x14ac:dyDescent="0.45">
      <c r="A834" s="132"/>
      <c r="B834" s="132"/>
      <c r="C834" s="133"/>
      <c r="D834" s="133"/>
      <c r="E834" s="133"/>
      <c r="F834" s="133"/>
      <c r="G834" s="134"/>
      <c r="H834" s="134"/>
      <c r="I834" s="134"/>
    </row>
    <row r="835" spans="1:9" ht="14.25" customHeight="1" x14ac:dyDescent="0.45">
      <c r="A835" s="132"/>
      <c r="B835" s="132"/>
      <c r="C835" s="133"/>
      <c r="D835" s="133"/>
      <c r="E835" s="133"/>
      <c r="F835" s="133"/>
      <c r="G835" s="134"/>
      <c r="H835" s="134"/>
      <c r="I835" s="134"/>
    </row>
    <row r="836" spans="1:9" ht="14.25" customHeight="1" x14ac:dyDescent="0.45">
      <c r="A836" s="132"/>
      <c r="B836" s="132"/>
      <c r="C836" s="133"/>
      <c r="D836" s="133"/>
      <c r="E836" s="133"/>
      <c r="F836" s="133"/>
      <c r="G836" s="134"/>
      <c r="H836" s="134"/>
      <c r="I836" s="134"/>
    </row>
    <row r="837" spans="1:9" ht="14.25" customHeight="1" x14ac:dyDescent="0.45">
      <c r="A837" s="132"/>
      <c r="B837" s="132"/>
      <c r="C837" s="133"/>
      <c r="D837" s="133"/>
      <c r="E837" s="133"/>
      <c r="F837" s="133"/>
      <c r="G837" s="134"/>
      <c r="H837" s="134"/>
      <c r="I837" s="134"/>
    </row>
    <row r="838" spans="1:9" ht="14.25" customHeight="1" x14ac:dyDescent="0.45">
      <c r="A838" s="132"/>
      <c r="B838" s="132"/>
      <c r="C838" s="133"/>
      <c r="D838" s="133"/>
      <c r="E838" s="133"/>
      <c r="F838" s="133"/>
      <c r="G838" s="134"/>
      <c r="H838" s="134"/>
      <c r="I838" s="134"/>
    </row>
    <row r="839" spans="1:9" ht="14.25" customHeight="1" x14ac:dyDescent="0.45">
      <c r="A839" s="132"/>
      <c r="B839" s="132"/>
      <c r="C839" s="133"/>
      <c r="D839" s="133"/>
      <c r="E839" s="133"/>
      <c r="F839" s="133"/>
      <c r="G839" s="134"/>
      <c r="H839" s="134"/>
      <c r="I839" s="134"/>
    </row>
    <row r="840" spans="1:9" ht="14.25" customHeight="1" x14ac:dyDescent="0.45">
      <c r="A840" s="132"/>
      <c r="B840" s="132"/>
      <c r="C840" s="133"/>
      <c r="D840" s="133"/>
      <c r="E840" s="133"/>
      <c r="F840" s="133"/>
      <c r="G840" s="134"/>
      <c r="H840" s="134"/>
      <c r="I840" s="134"/>
    </row>
    <row r="841" spans="1:9" ht="14.25" customHeight="1" x14ac:dyDescent="0.45">
      <c r="A841" s="132"/>
      <c r="B841" s="132"/>
      <c r="C841" s="133"/>
      <c r="D841" s="133"/>
      <c r="E841" s="133"/>
      <c r="F841" s="133"/>
      <c r="G841" s="134"/>
      <c r="H841" s="134"/>
      <c r="I841" s="134"/>
    </row>
    <row r="842" spans="1:9" ht="14.25" customHeight="1" x14ac:dyDescent="0.45">
      <c r="A842" s="132"/>
      <c r="B842" s="132"/>
      <c r="C842" s="133"/>
      <c r="D842" s="133"/>
      <c r="E842" s="133"/>
      <c r="F842" s="133"/>
      <c r="G842" s="134"/>
      <c r="H842" s="134"/>
      <c r="I842" s="134"/>
    </row>
    <row r="843" spans="1:9" ht="14.25" customHeight="1" x14ac:dyDescent="0.45">
      <c r="A843" s="132"/>
      <c r="B843" s="132"/>
      <c r="C843" s="133"/>
      <c r="D843" s="133"/>
      <c r="E843" s="133"/>
      <c r="F843" s="133"/>
      <c r="G843" s="134"/>
      <c r="H843" s="134"/>
      <c r="I843" s="134"/>
    </row>
    <row r="844" spans="1:9" ht="14.25" customHeight="1" x14ac:dyDescent="0.45">
      <c r="A844" s="132"/>
      <c r="B844" s="132"/>
      <c r="C844" s="133"/>
      <c r="D844" s="133"/>
      <c r="E844" s="133"/>
      <c r="F844" s="133"/>
      <c r="G844" s="134"/>
      <c r="H844" s="134"/>
      <c r="I844" s="134"/>
    </row>
    <row r="845" spans="1:9" ht="14.25" customHeight="1" x14ac:dyDescent="0.45">
      <c r="A845" s="132"/>
      <c r="B845" s="132"/>
      <c r="C845" s="133"/>
      <c r="D845" s="133"/>
      <c r="E845" s="133"/>
      <c r="F845" s="133"/>
      <c r="G845" s="134"/>
      <c r="H845" s="134"/>
      <c r="I845" s="134"/>
    </row>
    <row r="846" spans="1:9" ht="14.25" customHeight="1" x14ac:dyDescent="0.45">
      <c r="A846" s="132"/>
      <c r="B846" s="132"/>
      <c r="C846" s="133"/>
      <c r="D846" s="133"/>
      <c r="E846" s="133"/>
      <c r="F846" s="133"/>
      <c r="G846" s="134"/>
      <c r="H846" s="134"/>
      <c r="I846" s="134"/>
    </row>
    <row r="847" spans="1:9" ht="14.25" customHeight="1" x14ac:dyDescent="0.45">
      <c r="A847" s="132"/>
      <c r="B847" s="132"/>
      <c r="C847" s="133"/>
      <c r="D847" s="133"/>
      <c r="E847" s="133"/>
      <c r="F847" s="133"/>
      <c r="G847" s="134"/>
      <c r="H847" s="134"/>
      <c r="I847" s="134"/>
    </row>
    <row r="848" spans="1:9" ht="14.25" customHeight="1" x14ac:dyDescent="0.45">
      <c r="A848" s="132"/>
      <c r="B848" s="132"/>
      <c r="C848" s="133"/>
      <c r="D848" s="133"/>
      <c r="E848" s="133"/>
      <c r="F848" s="133"/>
      <c r="G848" s="134"/>
      <c r="H848" s="134"/>
      <c r="I848" s="134"/>
    </row>
    <row r="849" spans="1:9" ht="14.25" customHeight="1" x14ac:dyDescent="0.45">
      <c r="A849" s="132"/>
      <c r="B849" s="132"/>
      <c r="C849" s="133"/>
      <c r="D849" s="133"/>
      <c r="E849" s="133"/>
      <c r="F849" s="133"/>
      <c r="G849" s="134"/>
      <c r="H849" s="134"/>
      <c r="I849" s="134"/>
    </row>
    <row r="850" spans="1:9" ht="14.25" customHeight="1" x14ac:dyDescent="0.45">
      <c r="A850" s="132"/>
      <c r="B850" s="132"/>
      <c r="C850" s="133"/>
      <c r="D850" s="133"/>
      <c r="E850" s="133"/>
      <c r="F850" s="133"/>
      <c r="G850" s="134"/>
      <c r="H850" s="134"/>
      <c r="I850" s="134"/>
    </row>
    <row r="851" spans="1:9" ht="14.25" customHeight="1" x14ac:dyDescent="0.45">
      <c r="A851" s="132"/>
      <c r="B851" s="132"/>
      <c r="C851" s="133"/>
      <c r="D851" s="133"/>
      <c r="E851" s="133"/>
      <c r="F851" s="133"/>
      <c r="G851" s="134"/>
      <c r="H851" s="134"/>
      <c r="I851" s="134"/>
    </row>
    <row r="852" spans="1:9" ht="14.25" customHeight="1" x14ac:dyDescent="0.45">
      <c r="A852" s="132"/>
      <c r="B852" s="132"/>
      <c r="C852" s="133"/>
      <c r="D852" s="133"/>
      <c r="E852" s="133"/>
      <c r="F852" s="133"/>
      <c r="G852" s="134"/>
      <c r="H852" s="134"/>
      <c r="I852" s="134"/>
    </row>
    <row r="853" spans="1:9" ht="14.25" customHeight="1" x14ac:dyDescent="0.45">
      <c r="A853" s="132"/>
      <c r="B853" s="132"/>
      <c r="C853" s="133"/>
      <c r="D853" s="133"/>
      <c r="E853" s="133"/>
      <c r="F853" s="133"/>
      <c r="G853" s="134"/>
      <c r="H853" s="134"/>
      <c r="I853" s="134"/>
    </row>
    <row r="854" spans="1:9" ht="14.25" customHeight="1" x14ac:dyDescent="0.45">
      <c r="A854" s="132"/>
      <c r="B854" s="132"/>
      <c r="C854" s="133"/>
      <c r="D854" s="133"/>
      <c r="E854" s="133"/>
      <c r="F854" s="133"/>
      <c r="G854" s="134"/>
      <c r="H854" s="134"/>
      <c r="I854" s="134"/>
    </row>
    <row r="855" spans="1:9" ht="14.25" customHeight="1" x14ac:dyDescent="0.45">
      <c r="A855" s="132"/>
      <c r="B855" s="132"/>
      <c r="C855" s="133"/>
      <c r="D855" s="133"/>
      <c r="E855" s="133"/>
      <c r="F855" s="133"/>
      <c r="G855" s="134"/>
      <c r="H855" s="134"/>
      <c r="I855" s="134"/>
    </row>
    <row r="856" spans="1:9" ht="14.25" customHeight="1" x14ac:dyDescent="0.45">
      <c r="A856" s="132"/>
      <c r="B856" s="132"/>
      <c r="C856" s="133"/>
      <c r="D856" s="133"/>
      <c r="E856" s="133"/>
      <c r="F856" s="133"/>
      <c r="G856" s="134"/>
      <c r="H856" s="134"/>
      <c r="I856" s="134"/>
    </row>
    <row r="857" spans="1:9" ht="14.25" customHeight="1" x14ac:dyDescent="0.45">
      <c r="A857" s="132"/>
      <c r="B857" s="132"/>
      <c r="C857" s="133"/>
      <c r="D857" s="133"/>
      <c r="E857" s="133"/>
      <c r="F857" s="133"/>
      <c r="G857" s="134"/>
      <c r="H857" s="134"/>
      <c r="I857" s="134"/>
    </row>
    <row r="858" spans="1:9" ht="14.25" customHeight="1" x14ac:dyDescent="0.45">
      <c r="A858" s="132"/>
      <c r="B858" s="132"/>
      <c r="C858" s="133"/>
      <c r="D858" s="133"/>
      <c r="E858" s="133"/>
      <c r="F858" s="133"/>
      <c r="G858" s="134"/>
      <c r="H858" s="134"/>
      <c r="I858" s="134"/>
    </row>
    <row r="859" spans="1:9" ht="14.25" customHeight="1" x14ac:dyDescent="0.45">
      <c r="A859" s="132"/>
      <c r="B859" s="132"/>
      <c r="C859" s="133"/>
      <c r="D859" s="133"/>
      <c r="E859" s="133"/>
      <c r="F859" s="133"/>
      <c r="G859" s="134"/>
      <c r="H859" s="134"/>
      <c r="I859" s="134"/>
    </row>
    <row r="860" spans="1:9" ht="14.25" customHeight="1" x14ac:dyDescent="0.45">
      <c r="A860" s="132"/>
      <c r="B860" s="132"/>
      <c r="C860" s="133"/>
      <c r="D860" s="133"/>
      <c r="E860" s="133"/>
      <c r="F860" s="133"/>
      <c r="G860" s="134"/>
      <c r="H860" s="134"/>
      <c r="I860" s="134"/>
    </row>
    <row r="861" spans="1:9" ht="14.25" customHeight="1" x14ac:dyDescent="0.45">
      <c r="A861" s="132"/>
      <c r="B861" s="132"/>
      <c r="C861" s="133"/>
      <c r="D861" s="133"/>
      <c r="E861" s="133"/>
      <c r="F861" s="133"/>
      <c r="G861" s="134"/>
      <c r="H861" s="134"/>
      <c r="I861" s="134"/>
    </row>
    <row r="862" spans="1:9" ht="14.25" customHeight="1" x14ac:dyDescent="0.45">
      <c r="A862" s="132"/>
      <c r="B862" s="132"/>
      <c r="C862" s="133"/>
      <c r="D862" s="133"/>
      <c r="E862" s="133"/>
      <c r="F862" s="133"/>
      <c r="G862" s="134"/>
      <c r="H862" s="134"/>
      <c r="I862" s="134"/>
    </row>
    <row r="863" spans="1:9" ht="14.25" customHeight="1" x14ac:dyDescent="0.45">
      <c r="A863" s="132"/>
      <c r="B863" s="132"/>
      <c r="C863" s="133"/>
      <c r="D863" s="133"/>
      <c r="E863" s="133"/>
      <c r="F863" s="133"/>
      <c r="G863" s="134"/>
      <c r="H863" s="134"/>
      <c r="I863" s="134"/>
    </row>
    <row r="864" spans="1:9" ht="14.25" customHeight="1" x14ac:dyDescent="0.45">
      <c r="A864" s="132"/>
      <c r="B864" s="132"/>
      <c r="C864" s="133"/>
      <c r="D864" s="133"/>
      <c r="E864" s="133"/>
      <c r="F864" s="133"/>
      <c r="G864" s="134"/>
      <c r="H864" s="134"/>
      <c r="I864" s="134"/>
    </row>
    <row r="865" spans="1:9" ht="14.25" customHeight="1" x14ac:dyDescent="0.45">
      <c r="A865" s="132"/>
      <c r="B865" s="132"/>
      <c r="C865" s="133"/>
      <c r="D865" s="133"/>
      <c r="E865" s="133"/>
      <c r="F865" s="133"/>
      <c r="G865" s="134"/>
      <c r="H865" s="134"/>
      <c r="I865" s="134"/>
    </row>
    <row r="866" spans="1:9" ht="14.25" customHeight="1" x14ac:dyDescent="0.45">
      <c r="A866" s="132"/>
      <c r="B866" s="132"/>
      <c r="C866" s="133"/>
      <c r="D866" s="133"/>
      <c r="E866" s="133"/>
      <c r="F866" s="133"/>
      <c r="G866" s="134"/>
      <c r="H866" s="134"/>
      <c r="I866" s="134"/>
    </row>
    <row r="867" spans="1:9" ht="14.25" customHeight="1" x14ac:dyDescent="0.45">
      <c r="A867" s="132"/>
      <c r="B867" s="132"/>
      <c r="C867" s="133"/>
      <c r="D867" s="133"/>
      <c r="E867" s="133"/>
      <c r="F867" s="133"/>
      <c r="G867" s="134"/>
      <c r="H867" s="134"/>
      <c r="I867" s="134"/>
    </row>
    <row r="868" spans="1:9" ht="14.25" customHeight="1" x14ac:dyDescent="0.45">
      <c r="A868" s="132"/>
      <c r="B868" s="132"/>
      <c r="C868" s="133"/>
      <c r="D868" s="133"/>
      <c r="E868" s="133"/>
      <c r="F868" s="133"/>
      <c r="G868" s="134"/>
      <c r="H868" s="134"/>
      <c r="I868" s="134"/>
    </row>
    <row r="869" spans="1:9" ht="14.25" customHeight="1" x14ac:dyDescent="0.45">
      <c r="A869" s="132"/>
      <c r="B869" s="132"/>
      <c r="C869" s="133"/>
      <c r="D869" s="133"/>
      <c r="E869" s="133"/>
      <c r="F869" s="133"/>
      <c r="G869" s="134"/>
      <c r="H869" s="134"/>
      <c r="I869" s="134"/>
    </row>
    <row r="870" spans="1:9" ht="14.25" customHeight="1" x14ac:dyDescent="0.45">
      <c r="A870" s="132"/>
      <c r="B870" s="132"/>
      <c r="C870" s="133"/>
      <c r="D870" s="133"/>
      <c r="E870" s="133"/>
      <c r="F870" s="133"/>
      <c r="G870" s="134"/>
      <c r="H870" s="134"/>
      <c r="I870" s="134"/>
    </row>
    <row r="871" spans="1:9" ht="14.25" customHeight="1" x14ac:dyDescent="0.45">
      <c r="A871" s="132"/>
      <c r="B871" s="132"/>
      <c r="C871" s="133"/>
      <c r="D871" s="133"/>
      <c r="E871" s="133"/>
      <c r="F871" s="133"/>
      <c r="G871" s="134"/>
      <c r="H871" s="134"/>
      <c r="I871" s="134"/>
    </row>
    <row r="872" spans="1:9" ht="14.25" customHeight="1" x14ac:dyDescent="0.45">
      <c r="A872" s="132"/>
      <c r="B872" s="132"/>
      <c r="C872" s="133"/>
      <c r="D872" s="133"/>
      <c r="E872" s="133"/>
      <c r="F872" s="133"/>
      <c r="G872" s="134"/>
      <c r="H872" s="134"/>
      <c r="I872" s="134"/>
    </row>
    <row r="873" spans="1:9" ht="14.25" customHeight="1" x14ac:dyDescent="0.45">
      <c r="A873" s="132"/>
      <c r="B873" s="132"/>
      <c r="C873" s="133"/>
      <c r="D873" s="133"/>
      <c r="E873" s="133"/>
      <c r="F873" s="133"/>
      <c r="G873" s="134"/>
      <c r="H873" s="134"/>
      <c r="I873" s="134"/>
    </row>
    <row r="874" spans="1:9" ht="14.25" customHeight="1" x14ac:dyDescent="0.45">
      <c r="A874" s="132"/>
      <c r="B874" s="132"/>
      <c r="C874" s="133"/>
      <c r="D874" s="133"/>
      <c r="E874" s="133"/>
      <c r="F874" s="133"/>
      <c r="G874" s="134"/>
      <c r="H874" s="134"/>
      <c r="I874" s="134"/>
    </row>
    <row r="875" spans="1:9" ht="14.25" customHeight="1" x14ac:dyDescent="0.45">
      <c r="A875" s="132"/>
      <c r="B875" s="132"/>
      <c r="C875" s="133"/>
      <c r="D875" s="133"/>
      <c r="E875" s="133"/>
      <c r="F875" s="133"/>
      <c r="G875" s="134"/>
      <c r="H875" s="134"/>
      <c r="I875" s="134"/>
    </row>
    <row r="876" spans="1:9" ht="14.25" customHeight="1" x14ac:dyDescent="0.45">
      <c r="A876" s="132"/>
      <c r="B876" s="132"/>
      <c r="C876" s="133"/>
      <c r="D876" s="133"/>
      <c r="E876" s="133"/>
      <c r="F876" s="133"/>
      <c r="G876" s="134"/>
      <c r="H876" s="134"/>
      <c r="I876" s="134"/>
    </row>
    <row r="877" spans="1:9" ht="14.25" customHeight="1" x14ac:dyDescent="0.45">
      <c r="A877" s="132"/>
      <c r="B877" s="132"/>
      <c r="C877" s="133"/>
      <c r="D877" s="133"/>
      <c r="E877" s="133"/>
      <c r="F877" s="133"/>
      <c r="G877" s="134"/>
      <c r="H877" s="134"/>
      <c r="I877" s="134"/>
    </row>
    <row r="878" spans="1:9" ht="14.25" customHeight="1" x14ac:dyDescent="0.45">
      <c r="A878" s="132"/>
      <c r="B878" s="132"/>
      <c r="C878" s="133"/>
      <c r="D878" s="133"/>
      <c r="E878" s="133"/>
      <c r="F878" s="133"/>
      <c r="G878" s="134"/>
      <c r="H878" s="134"/>
      <c r="I878" s="134"/>
    </row>
    <row r="879" spans="1:9" ht="14.25" customHeight="1" x14ac:dyDescent="0.45">
      <c r="A879" s="132"/>
      <c r="B879" s="132"/>
      <c r="C879" s="133"/>
      <c r="D879" s="133"/>
      <c r="E879" s="133"/>
      <c r="F879" s="133"/>
      <c r="G879" s="134"/>
      <c r="H879" s="134"/>
      <c r="I879" s="134"/>
    </row>
    <row r="880" spans="1:9" ht="14.25" customHeight="1" x14ac:dyDescent="0.45">
      <c r="A880" s="132"/>
      <c r="B880" s="132"/>
      <c r="C880" s="133"/>
      <c r="D880" s="133"/>
      <c r="E880" s="133"/>
      <c r="F880" s="133"/>
      <c r="G880" s="134"/>
      <c r="H880" s="134"/>
      <c r="I880" s="134"/>
    </row>
    <row r="881" spans="1:9" ht="14.25" customHeight="1" x14ac:dyDescent="0.45">
      <c r="A881" s="132"/>
      <c r="B881" s="132"/>
      <c r="C881" s="133"/>
      <c r="D881" s="133"/>
      <c r="E881" s="133"/>
      <c r="F881" s="133"/>
      <c r="G881" s="134"/>
      <c r="H881" s="134"/>
      <c r="I881" s="134"/>
    </row>
    <row r="882" spans="1:9" ht="14.25" customHeight="1" x14ac:dyDescent="0.45">
      <c r="A882" s="132"/>
      <c r="B882" s="132"/>
      <c r="C882" s="133"/>
      <c r="D882" s="133"/>
      <c r="E882" s="133"/>
      <c r="F882" s="133"/>
      <c r="G882" s="134"/>
      <c r="H882" s="134"/>
      <c r="I882" s="134"/>
    </row>
    <row r="883" spans="1:9" ht="14.25" customHeight="1" x14ac:dyDescent="0.45">
      <c r="A883" s="132"/>
      <c r="B883" s="132"/>
      <c r="C883" s="133"/>
      <c r="D883" s="133"/>
      <c r="E883" s="133"/>
      <c r="F883" s="133"/>
      <c r="G883" s="134"/>
      <c r="H883" s="134"/>
      <c r="I883" s="134"/>
    </row>
    <row r="884" spans="1:9" ht="14.25" customHeight="1" x14ac:dyDescent="0.45">
      <c r="A884" s="132"/>
      <c r="B884" s="132"/>
      <c r="C884" s="133"/>
      <c r="D884" s="133"/>
      <c r="E884" s="133"/>
      <c r="F884" s="133"/>
      <c r="G884" s="134"/>
      <c r="H884" s="134"/>
      <c r="I884" s="134"/>
    </row>
    <row r="885" spans="1:9" ht="14.25" customHeight="1" x14ac:dyDescent="0.45">
      <c r="A885" s="132"/>
      <c r="B885" s="132"/>
      <c r="C885" s="133"/>
      <c r="D885" s="133"/>
      <c r="E885" s="133"/>
      <c r="F885" s="133"/>
      <c r="G885" s="134"/>
      <c r="H885" s="134"/>
      <c r="I885" s="134"/>
    </row>
    <row r="886" spans="1:9" ht="14.25" customHeight="1" x14ac:dyDescent="0.45">
      <c r="A886" s="132"/>
      <c r="B886" s="132"/>
      <c r="C886" s="133"/>
      <c r="D886" s="133"/>
      <c r="E886" s="133"/>
      <c r="F886" s="133"/>
      <c r="G886" s="134"/>
      <c r="H886" s="134"/>
      <c r="I886" s="134"/>
    </row>
    <row r="887" spans="1:9" ht="14.25" customHeight="1" x14ac:dyDescent="0.45">
      <c r="A887" s="132"/>
      <c r="B887" s="132"/>
      <c r="C887" s="133"/>
      <c r="D887" s="133"/>
      <c r="E887" s="133"/>
      <c r="F887" s="133"/>
      <c r="G887" s="134"/>
      <c r="H887" s="134"/>
      <c r="I887" s="134"/>
    </row>
    <row r="888" spans="1:9" ht="14.25" customHeight="1" x14ac:dyDescent="0.45">
      <c r="A888" s="132"/>
      <c r="B888" s="132"/>
      <c r="C888" s="133"/>
      <c r="D888" s="133"/>
      <c r="E888" s="133"/>
      <c r="F888" s="133"/>
      <c r="G888" s="134"/>
      <c r="H888" s="134"/>
      <c r="I888" s="134"/>
    </row>
    <row r="889" spans="1:9" ht="14.25" customHeight="1" x14ac:dyDescent="0.45">
      <c r="A889" s="132"/>
      <c r="B889" s="132"/>
      <c r="C889" s="133"/>
      <c r="D889" s="133"/>
      <c r="E889" s="133"/>
      <c r="F889" s="133"/>
      <c r="G889" s="134"/>
      <c r="H889" s="134"/>
      <c r="I889" s="134"/>
    </row>
    <row r="890" spans="1:9" ht="14.25" customHeight="1" x14ac:dyDescent="0.45">
      <c r="A890" s="132"/>
      <c r="B890" s="132"/>
      <c r="C890" s="133"/>
      <c r="D890" s="133"/>
      <c r="E890" s="133"/>
      <c r="F890" s="133"/>
      <c r="G890" s="134"/>
      <c r="H890" s="134"/>
      <c r="I890" s="134"/>
    </row>
    <row r="891" spans="1:9" ht="14.25" customHeight="1" x14ac:dyDescent="0.45">
      <c r="A891" s="132"/>
      <c r="B891" s="132"/>
      <c r="C891" s="133"/>
      <c r="D891" s="133"/>
      <c r="E891" s="133"/>
      <c r="F891" s="133"/>
      <c r="G891" s="134"/>
      <c r="H891" s="134"/>
      <c r="I891" s="134"/>
    </row>
    <row r="892" spans="1:9" ht="14.25" customHeight="1" x14ac:dyDescent="0.45">
      <c r="A892" s="132"/>
      <c r="B892" s="132"/>
      <c r="C892" s="133"/>
      <c r="D892" s="133"/>
      <c r="E892" s="133"/>
      <c r="F892" s="133"/>
      <c r="G892" s="134"/>
      <c r="H892" s="134"/>
      <c r="I892" s="134"/>
    </row>
    <row r="893" spans="1:9" ht="14.25" customHeight="1" x14ac:dyDescent="0.45">
      <c r="A893" s="132"/>
      <c r="B893" s="132"/>
      <c r="C893" s="133"/>
      <c r="D893" s="133"/>
      <c r="E893" s="133"/>
      <c r="F893" s="133"/>
      <c r="G893" s="134"/>
      <c r="H893" s="134"/>
      <c r="I893" s="134"/>
    </row>
    <row r="894" spans="1:9" ht="14.25" customHeight="1" x14ac:dyDescent="0.45">
      <c r="A894" s="132"/>
      <c r="B894" s="132"/>
      <c r="C894" s="133"/>
      <c r="D894" s="133"/>
      <c r="E894" s="133"/>
      <c r="F894" s="133"/>
      <c r="G894" s="134"/>
      <c r="H894" s="134"/>
      <c r="I894" s="134"/>
    </row>
    <row r="895" spans="1:9" ht="14.25" customHeight="1" x14ac:dyDescent="0.45">
      <c r="A895" s="132"/>
      <c r="B895" s="132"/>
      <c r="C895" s="133"/>
      <c r="D895" s="133"/>
      <c r="E895" s="133"/>
      <c r="F895" s="133"/>
      <c r="G895" s="134"/>
      <c r="H895" s="134"/>
      <c r="I895" s="134"/>
    </row>
    <row r="896" spans="1:9" ht="14.25" customHeight="1" x14ac:dyDescent="0.45">
      <c r="A896" s="132"/>
      <c r="B896" s="132"/>
      <c r="C896" s="133"/>
      <c r="D896" s="133"/>
      <c r="E896" s="133"/>
      <c r="F896" s="133"/>
      <c r="G896" s="134"/>
      <c r="H896" s="134"/>
      <c r="I896" s="134"/>
    </row>
    <row r="897" spans="1:9" ht="14.25" customHeight="1" x14ac:dyDescent="0.45">
      <c r="A897" s="132"/>
      <c r="B897" s="132"/>
      <c r="C897" s="133"/>
      <c r="D897" s="133"/>
      <c r="E897" s="133"/>
      <c r="F897" s="133"/>
      <c r="G897" s="134"/>
      <c r="H897" s="134"/>
      <c r="I897" s="134"/>
    </row>
    <row r="898" spans="1:9" ht="14.25" customHeight="1" x14ac:dyDescent="0.45">
      <c r="A898" s="132"/>
      <c r="B898" s="132"/>
      <c r="C898" s="133"/>
      <c r="D898" s="133"/>
      <c r="E898" s="133"/>
      <c r="F898" s="133"/>
      <c r="G898" s="134"/>
      <c r="H898" s="134"/>
      <c r="I898" s="134"/>
    </row>
    <row r="899" spans="1:9" ht="14.25" customHeight="1" x14ac:dyDescent="0.45">
      <c r="A899" s="132"/>
      <c r="B899" s="132"/>
      <c r="C899" s="133"/>
      <c r="D899" s="133"/>
      <c r="E899" s="133"/>
      <c r="F899" s="133"/>
      <c r="G899" s="134"/>
      <c r="H899" s="134"/>
      <c r="I899" s="134"/>
    </row>
    <row r="900" spans="1:9" ht="14.25" customHeight="1" x14ac:dyDescent="0.45">
      <c r="A900" s="132"/>
      <c r="B900" s="132"/>
      <c r="C900" s="133"/>
      <c r="D900" s="133"/>
      <c r="E900" s="133"/>
      <c r="F900" s="133"/>
      <c r="G900" s="134"/>
      <c r="H900" s="134"/>
      <c r="I900" s="134"/>
    </row>
    <row r="901" spans="1:9" ht="14.25" customHeight="1" x14ac:dyDescent="0.45">
      <c r="A901" s="132"/>
      <c r="B901" s="132"/>
      <c r="C901" s="133"/>
      <c r="D901" s="133"/>
      <c r="E901" s="133"/>
      <c r="F901" s="133"/>
      <c r="G901" s="134"/>
      <c r="H901" s="134"/>
      <c r="I901" s="134"/>
    </row>
    <row r="902" spans="1:9" ht="14.25" customHeight="1" x14ac:dyDescent="0.45">
      <c r="A902" s="132"/>
      <c r="B902" s="132"/>
      <c r="C902" s="133"/>
      <c r="D902" s="133"/>
      <c r="E902" s="133"/>
      <c r="F902" s="133"/>
      <c r="G902" s="134"/>
      <c r="H902" s="134"/>
      <c r="I902" s="134"/>
    </row>
    <row r="903" spans="1:9" ht="14.25" customHeight="1" x14ac:dyDescent="0.45">
      <c r="A903" s="132"/>
      <c r="B903" s="132"/>
      <c r="C903" s="133"/>
      <c r="D903" s="133"/>
      <c r="E903" s="133"/>
      <c r="F903" s="133"/>
      <c r="G903" s="134"/>
      <c r="H903" s="134"/>
      <c r="I903" s="134"/>
    </row>
    <row r="904" spans="1:9" ht="14.25" customHeight="1" x14ac:dyDescent="0.45">
      <c r="A904" s="132"/>
      <c r="B904" s="132"/>
      <c r="C904" s="133"/>
      <c r="D904" s="133"/>
      <c r="E904" s="133"/>
      <c r="F904" s="133"/>
      <c r="G904" s="134"/>
      <c r="H904" s="134"/>
      <c r="I904" s="134"/>
    </row>
    <row r="905" spans="1:9" ht="14.25" customHeight="1" x14ac:dyDescent="0.45">
      <c r="A905" s="132"/>
      <c r="B905" s="132"/>
      <c r="C905" s="133"/>
      <c r="D905" s="133"/>
      <c r="E905" s="133"/>
      <c r="F905" s="133"/>
      <c r="G905" s="134"/>
      <c r="H905" s="134"/>
      <c r="I905" s="134"/>
    </row>
    <row r="906" spans="1:9" ht="14.25" customHeight="1" x14ac:dyDescent="0.45">
      <c r="A906" s="132"/>
      <c r="B906" s="132"/>
      <c r="C906" s="133"/>
      <c r="D906" s="133"/>
      <c r="E906" s="133"/>
      <c r="F906" s="133"/>
      <c r="G906" s="134"/>
      <c r="H906" s="134"/>
      <c r="I906" s="134"/>
    </row>
    <row r="907" spans="1:9" ht="14.25" customHeight="1" x14ac:dyDescent="0.45">
      <c r="A907" s="132"/>
      <c r="B907" s="132"/>
      <c r="C907" s="133"/>
      <c r="D907" s="133"/>
      <c r="E907" s="133"/>
      <c r="F907" s="133"/>
      <c r="G907" s="134"/>
      <c r="H907" s="134"/>
      <c r="I907" s="134"/>
    </row>
    <row r="908" spans="1:9" ht="14.25" customHeight="1" x14ac:dyDescent="0.45">
      <c r="A908" s="132"/>
      <c r="B908" s="132"/>
      <c r="C908" s="133"/>
      <c r="D908" s="133"/>
      <c r="E908" s="133"/>
      <c r="F908" s="133"/>
      <c r="G908" s="134"/>
      <c r="H908" s="134"/>
      <c r="I908" s="134"/>
    </row>
    <row r="909" spans="1:9" ht="14.25" customHeight="1" x14ac:dyDescent="0.45">
      <c r="A909" s="132"/>
      <c r="B909" s="132"/>
      <c r="C909" s="133"/>
      <c r="D909" s="133"/>
      <c r="E909" s="133"/>
      <c r="F909" s="133"/>
      <c r="G909" s="134"/>
      <c r="H909" s="134"/>
      <c r="I909" s="134"/>
    </row>
    <row r="910" spans="1:9" ht="14.25" customHeight="1" x14ac:dyDescent="0.45">
      <c r="A910" s="132"/>
      <c r="B910" s="132"/>
      <c r="C910" s="133"/>
      <c r="D910" s="133"/>
      <c r="E910" s="133"/>
      <c r="F910" s="133"/>
      <c r="G910" s="134"/>
      <c r="H910" s="134"/>
      <c r="I910" s="134"/>
    </row>
    <row r="911" spans="1:9" ht="14.25" customHeight="1" x14ac:dyDescent="0.45">
      <c r="A911" s="132"/>
      <c r="B911" s="132"/>
      <c r="C911" s="133"/>
      <c r="D911" s="133"/>
      <c r="E911" s="133"/>
      <c r="F911" s="133"/>
      <c r="G911" s="134"/>
      <c r="H911" s="134"/>
      <c r="I911" s="134"/>
    </row>
    <row r="912" spans="1:9" ht="14.25" customHeight="1" x14ac:dyDescent="0.45">
      <c r="A912" s="132"/>
      <c r="B912" s="132"/>
      <c r="C912" s="133"/>
      <c r="D912" s="133"/>
      <c r="E912" s="133"/>
      <c r="F912" s="133"/>
      <c r="G912" s="134"/>
      <c r="H912" s="134"/>
      <c r="I912" s="134"/>
    </row>
    <row r="913" spans="1:9" ht="14.25" customHeight="1" x14ac:dyDescent="0.45">
      <c r="A913" s="132"/>
      <c r="B913" s="132"/>
      <c r="C913" s="133"/>
      <c r="D913" s="133"/>
      <c r="E913" s="133"/>
      <c r="F913" s="133"/>
      <c r="G913" s="134"/>
      <c r="H913" s="134"/>
      <c r="I913" s="134"/>
    </row>
    <row r="914" spans="1:9" ht="14.25" customHeight="1" x14ac:dyDescent="0.45">
      <c r="A914" s="132"/>
      <c r="B914" s="132"/>
      <c r="C914" s="133"/>
      <c r="D914" s="133"/>
      <c r="E914" s="133"/>
      <c r="F914" s="133"/>
      <c r="G914" s="134"/>
      <c r="H914" s="134"/>
      <c r="I914" s="134"/>
    </row>
    <row r="915" spans="1:9" ht="14.25" customHeight="1" x14ac:dyDescent="0.45">
      <c r="A915" s="132"/>
      <c r="B915" s="132"/>
      <c r="C915" s="133"/>
      <c r="D915" s="133"/>
      <c r="E915" s="133"/>
      <c r="F915" s="133"/>
      <c r="G915" s="134"/>
      <c r="H915" s="134"/>
      <c r="I915" s="134"/>
    </row>
    <row r="916" spans="1:9" ht="14.25" customHeight="1" x14ac:dyDescent="0.45">
      <c r="A916" s="132"/>
      <c r="B916" s="132"/>
      <c r="C916" s="133"/>
      <c r="D916" s="133"/>
      <c r="E916" s="133"/>
      <c r="F916" s="133"/>
      <c r="G916" s="134"/>
      <c r="H916" s="134"/>
      <c r="I916" s="134"/>
    </row>
    <row r="917" spans="1:9" ht="14.25" customHeight="1" x14ac:dyDescent="0.45">
      <c r="A917" s="132"/>
      <c r="B917" s="132"/>
      <c r="C917" s="133"/>
      <c r="D917" s="133"/>
      <c r="E917" s="133"/>
      <c r="F917" s="133"/>
      <c r="G917" s="134"/>
      <c r="H917" s="134"/>
      <c r="I917" s="134"/>
    </row>
    <row r="918" spans="1:9" ht="14.25" customHeight="1" x14ac:dyDescent="0.45">
      <c r="A918" s="132"/>
      <c r="B918" s="132"/>
      <c r="C918" s="133"/>
      <c r="D918" s="133"/>
      <c r="E918" s="133"/>
      <c r="F918" s="133"/>
      <c r="G918" s="134"/>
      <c r="H918" s="134"/>
      <c r="I918" s="134"/>
    </row>
    <row r="919" spans="1:9" ht="14.25" customHeight="1" x14ac:dyDescent="0.45">
      <c r="A919" s="132"/>
      <c r="B919" s="132"/>
      <c r="C919" s="133"/>
      <c r="D919" s="133"/>
      <c r="E919" s="133"/>
      <c r="F919" s="133"/>
      <c r="G919" s="134"/>
      <c r="H919" s="134"/>
      <c r="I919" s="134"/>
    </row>
    <row r="920" spans="1:9" ht="14.25" customHeight="1" x14ac:dyDescent="0.45">
      <c r="A920" s="132"/>
      <c r="B920" s="132"/>
      <c r="C920" s="133"/>
      <c r="D920" s="133"/>
      <c r="E920" s="133"/>
      <c r="F920" s="133"/>
      <c r="G920" s="134"/>
      <c r="H920" s="134"/>
      <c r="I920" s="134"/>
    </row>
    <row r="921" spans="1:9" ht="14.25" customHeight="1" x14ac:dyDescent="0.45">
      <c r="A921" s="132"/>
      <c r="B921" s="132"/>
      <c r="C921" s="133"/>
      <c r="D921" s="133"/>
      <c r="E921" s="133"/>
      <c r="F921" s="133"/>
      <c r="G921" s="134"/>
      <c r="H921" s="134"/>
      <c r="I921" s="134"/>
    </row>
    <row r="922" spans="1:9" ht="14.25" customHeight="1" x14ac:dyDescent="0.45">
      <c r="A922" s="132"/>
      <c r="B922" s="132"/>
      <c r="C922" s="133"/>
      <c r="D922" s="133"/>
      <c r="E922" s="133"/>
      <c r="F922" s="133"/>
      <c r="G922" s="134"/>
      <c r="H922" s="134"/>
      <c r="I922" s="134"/>
    </row>
    <row r="923" spans="1:9" ht="14.25" customHeight="1" x14ac:dyDescent="0.45">
      <c r="A923" s="132"/>
      <c r="B923" s="132"/>
      <c r="C923" s="133"/>
      <c r="D923" s="133"/>
      <c r="E923" s="133"/>
      <c r="F923" s="133"/>
      <c r="G923" s="134"/>
      <c r="H923" s="134"/>
      <c r="I923" s="134"/>
    </row>
    <row r="924" spans="1:9" ht="14.25" customHeight="1" x14ac:dyDescent="0.45">
      <c r="A924" s="132"/>
      <c r="B924" s="132"/>
      <c r="C924" s="133"/>
      <c r="D924" s="133"/>
      <c r="E924" s="133"/>
      <c r="F924" s="133"/>
      <c r="G924" s="134"/>
      <c r="H924" s="134"/>
      <c r="I924" s="134"/>
    </row>
    <row r="925" spans="1:9" ht="14.25" customHeight="1" x14ac:dyDescent="0.45">
      <c r="A925" s="132"/>
      <c r="B925" s="132"/>
      <c r="C925" s="133"/>
      <c r="D925" s="133"/>
      <c r="E925" s="133"/>
      <c r="F925" s="133"/>
      <c r="G925" s="134"/>
      <c r="H925" s="134"/>
      <c r="I925" s="134"/>
    </row>
    <row r="926" spans="1:9" ht="14.25" customHeight="1" x14ac:dyDescent="0.45">
      <c r="A926" s="132"/>
      <c r="B926" s="132"/>
      <c r="C926" s="133"/>
      <c r="D926" s="133"/>
      <c r="E926" s="133"/>
      <c r="F926" s="133"/>
      <c r="G926" s="134"/>
      <c r="H926" s="134"/>
      <c r="I926" s="134"/>
    </row>
    <row r="927" spans="1:9" ht="14.25" customHeight="1" x14ac:dyDescent="0.45">
      <c r="A927" s="132"/>
      <c r="B927" s="132"/>
      <c r="C927" s="133"/>
      <c r="D927" s="133"/>
      <c r="E927" s="133"/>
      <c r="F927" s="133"/>
      <c r="G927" s="134"/>
      <c r="H927" s="134"/>
      <c r="I927" s="134"/>
    </row>
    <row r="928" spans="1:9" ht="14.25" customHeight="1" x14ac:dyDescent="0.45">
      <c r="A928" s="132"/>
      <c r="B928" s="132"/>
      <c r="C928" s="133"/>
      <c r="D928" s="133"/>
      <c r="E928" s="133"/>
      <c r="F928" s="133"/>
      <c r="G928" s="134"/>
      <c r="H928" s="134"/>
      <c r="I928" s="134"/>
    </row>
    <row r="929" spans="1:9" ht="14.25" customHeight="1" x14ac:dyDescent="0.45">
      <c r="A929" s="132"/>
      <c r="B929" s="132"/>
      <c r="C929" s="133"/>
      <c r="D929" s="133"/>
      <c r="E929" s="133"/>
      <c r="F929" s="133"/>
      <c r="G929" s="134"/>
      <c r="H929" s="134"/>
      <c r="I929" s="134"/>
    </row>
    <row r="930" spans="1:9" ht="14.25" customHeight="1" x14ac:dyDescent="0.45">
      <c r="A930" s="132"/>
      <c r="B930" s="132"/>
      <c r="C930" s="133"/>
      <c r="D930" s="133"/>
      <c r="E930" s="133"/>
      <c r="F930" s="133"/>
      <c r="G930" s="134"/>
      <c r="H930" s="134"/>
      <c r="I930" s="134"/>
    </row>
    <row r="931" spans="1:9" ht="14.25" customHeight="1" x14ac:dyDescent="0.45">
      <c r="A931" s="132"/>
      <c r="B931" s="132"/>
      <c r="C931" s="133"/>
      <c r="D931" s="133"/>
      <c r="E931" s="133"/>
      <c r="F931" s="133"/>
      <c r="G931" s="134"/>
      <c r="H931" s="134"/>
      <c r="I931" s="134"/>
    </row>
    <row r="932" spans="1:9" ht="14.25" customHeight="1" x14ac:dyDescent="0.45">
      <c r="A932" s="132"/>
      <c r="B932" s="132"/>
      <c r="C932" s="133"/>
      <c r="D932" s="133"/>
      <c r="E932" s="133"/>
      <c r="F932" s="133"/>
      <c r="G932" s="134"/>
      <c r="H932" s="134"/>
      <c r="I932" s="134"/>
    </row>
    <row r="933" spans="1:9" ht="14.25" customHeight="1" x14ac:dyDescent="0.45">
      <c r="A933" s="132"/>
      <c r="B933" s="132"/>
      <c r="C933" s="133"/>
      <c r="D933" s="133"/>
      <c r="E933" s="133"/>
      <c r="F933" s="133"/>
      <c r="G933" s="134"/>
      <c r="H933" s="134"/>
      <c r="I933" s="134"/>
    </row>
    <row r="934" spans="1:9" ht="14.25" customHeight="1" x14ac:dyDescent="0.45">
      <c r="A934" s="132"/>
      <c r="B934" s="132"/>
      <c r="C934" s="133"/>
      <c r="D934" s="133"/>
      <c r="E934" s="133"/>
      <c r="F934" s="133"/>
      <c r="G934" s="134"/>
      <c r="H934" s="134"/>
      <c r="I934" s="134"/>
    </row>
    <row r="935" spans="1:9" ht="14.25" customHeight="1" x14ac:dyDescent="0.45">
      <c r="A935" s="132"/>
      <c r="B935" s="132"/>
      <c r="C935" s="133"/>
      <c r="D935" s="133"/>
      <c r="E935" s="133"/>
      <c r="F935" s="133"/>
      <c r="G935" s="134"/>
      <c r="H935" s="134"/>
      <c r="I935" s="134"/>
    </row>
    <row r="936" spans="1:9" ht="14.25" customHeight="1" x14ac:dyDescent="0.45">
      <c r="A936" s="132"/>
      <c r="B936" s="132"/>
      <c r="C936" s="133"/>
      <c r="D936" s="133"/>
      <c r="E936" s="133"/>
      <c r="F936" s="133"/>
      <c r="G936" s="134"/>
      <c r="H936" s="134"/>
      <c r="I936" s="134"/>
    </row>
    <row r="937" spans="1:9" ht="14.25" customHeight="1" x14ac:dyDescent="0.45">
      <c r="A937" s="132"/>
      <c r="B937" s="132"/>
      <c r="C937" s="133"/>
      <c r="D937" s="133"/>
      <c r="E937" s="133"/>
      <c r="F937" s="133"/>
      <c r="G937" s="134"/>
      <c r="H937" s="134"/>
      <c r="I937" s="134"/>
    </row>
    <row r="938" spans="1:9" ht="14.25" customHeight="1" x14ac:dyDescent="0.45">
      <c r="A938" s="132"/>
      <c r="B938" s="132"/>
      <c r="C938" s="133"/>
      <c r="D938" s="133"/>
      <c r="E938" s="133"/>
      <c r="F938" s="133"/>
      <c r="G938" s="134"/>
      <c r="H938" s="134"/>
      <c r="I938" s="134"/>
    </row>
    <row r="939" spans="1:9" ht="14.25" customHeight="1" x14ac:dyDescent="0.45">
      <c r="A939" s="132"/>
      <c r="B939" s="132"/>
      <c r="C939" s="133"/>
      <c r="D939" s="133"/>
      <c r="E939" s="133"/>
      <c r="F939" s="133"/>
      <c r="G939" s="134"/>
      <c r="H939" s="134"/>
      <c r="I939" s="134"/>
    </row>
    <row r="940" spans="1:9" ht="14.25" customHeight="1" x14ac:dyDescent="0.45">
      <c r="A940" s="132"/>
      <c r="B940" s="132"/>
      <c r="C940" s="133"/>
      <c r="D940" s="133"/>
      <c r="E940" s="133"/>
      <c r="F940" s="133"/>
      <c r="G940" s="134"/>
      <c r="H940" s="134"/>
      <c r="I940" s="134"/>
    </row>
    <row r="941" spans="1:9" ht="14.25" customHeight="1" x14ac:dyDescent="0.45">
      <c r="A941" s="132"/>
      <c r="B941" s="132"/>
      <c r="C941" s="133"/>
      <c r="D941" s="133"/>
      <c r="E941" s="133"/>
      <c r="F941" s="133"/>
      <c r="G941" s="134"/>
      <c r="H941" s="134"/>
      <c r="I941" s="134"/>
    </row>
    <row r="942" spans="1:9" ht="14.25" customHeight="1" x14ac:dyDescent="0.45">
      <c r="A942" s="132"/>
      <c r="B942" s="132"/>
      <c r="C942" s="133"/>
      <c r="D942" s="133"/>
      <c r="E942" s="133"/>
      <c r="F942" s="133"/>
      <c r="G942" s="134"/>
      <c r="H942" s="134"/>
      <c r="I942" s="134"/>
    </row>
    <row r="943" spans="1:9" ht="14.25" customHeight="1" x14ac:dyDescent="0.45">
      <c r="A943" s="132"/>
      <c r="B943" s="132"/>
      <c r="C943" s="133"/>
      <c r="D943" s="133"/>
      <c r="E943" s="133"/>
      <c r="F943" s="133"/>
      <c r="G943" s="134"/>
      <c r="H943" s="134"/>
      <c r="I943" s="134"/>
    </row>
    <row r="944" spans="1:9" ht="14.25" customHeight="1" x14ac:dyDescent="0.45">
      <c r="A944" s="132"/>
      <c r="B944" s="132"/>
      <c r="C944" s="133"/>
      <c r="D944" s="133"/>
      <c r="E944" s="133"/>
      <c r="F944" s="133"/>
      <c r="G944" s="134"/>
      <c r="H944" s="134"/>
      <c r="I944" s="134"/>
    </row>
    <row r="945" spans="1:9" ht="14.25" customHeight="1" x14ac:dyDescent="0.45">
      <c r="A945" s="132"/>
      <c r="B945" s="132"/>
      <c r="C945" s="133"/>
      <c r="D945" s="133"/>
      <c r="E945" s="133"/>
      <c r="F945" s="133"/>
      <c r="G945" s="134"/>
      <c r="H945" s="134"/>
      <c r="I945" s="134"/>
    </row>
    <row r="946" spans="1:9" ht="14.25" customHeight="1" x14ac:dyDescent="0.45">
      <c r="A946" s="132"/>
      <c r="B946" s="132"/>
      <c r="C946" s="133"/>
      <c r="D946" s="133"/>
      <c r="E946" s="133"/>
      <c r="F946" s="133"/>
      <c r="G946" s="134"/>
      <c r="H946" s="134"/>
      <c r="I946" s="134"/>
    </row>
    <row r="947" spans="1:9" ht="14.25" customHeight="1" x14ac:dyDescent="0.45">
      <c r="A947" s="132"/>
      <c r="B947" s="132"/>
      <c r="C947" s="133"/>
      <c r="D947" s="133"/>
      <c r="E947" s="133"/>
      <c r="F947" s="133"/>
      <c r="G947" s="134"/>
      <c r="H947" s="134"/>
      <c r="I947" s="134"/>
    </row>
    <row r="948" spans="1:9" ht="14.25" customHeight="1" x14ac:dyDescent="0.45">
      <c r="A948" s="132"/>
      <c r="B948" s="132"/>
      <c r="C948" s="133"/>
      <c r="D948" s="133"/>
      <c r="E948" s="133"/>
      <c r="F948" s="133"/>
      <c r="G948" s="134"/>
      <c r="H948" s="134"/>
      <c r="I948" s="134"/>
    </row>
    <row r="949" spans="1:9" ht="14.25" customHeight="1" x14ac:dyDescent="0.45">
      <c r="A949" s="132"/>
      <c r="B949" s="132"/>
      <c r="C949" s="133"/>
      <c r="D949" s="133"/>
      <c r="E949" s="133"/>
      <c r="F949" s="133"/>
      <c r="G949" s="134"/>
      <c r="H949" s="134"/>
      <c r="I949" s="134"/>
    </row>
    <row r="950" spans="1:9" ht="14.25" customHeight="1" x14ac:dyDescent="0.45">
      <c r="A950" s="132"/>
      <c r="B950" s="132"/>
      <c r="C950" s="133"/>
      <c r="D950" s="133"/>
      <c r="E950" s="133"/>
      <c r="F950" s="133"/>
      <c r="G950" s="134"/>
      <c r="H950" s="134"/>
      <c r="I950" s="134"/>
    </row>
    <row r="951" spans="1:9" ht="14.25" customHeight="1" x14ac:dyDescent="0.45">
      <c r="A951" s="132"/>
      <c r="B951" s="132"/>
      <c r="C951" s="133"/>
      <c r="D951" s="133"/>
      <c r="E951" s="133"/>
      <c r="F951" s="133"/>
      <c r="G951" s="134"/>
      <c r="H951" s="134"/>
      <c r="I951" s="134"/>
    </row>
    <row r="952" spans="1:9" ht="14.25" customHeight="1" x14ac:dyDescent="0.45">
      <c r="A952" s="132"/>
      <c r="B952" s="132"/>
      <c r="C952" s="133"/>
      <c r="D952" s="133"/>
      <c r="E952" s="133"/>
      <c r="F952" s="133"/>
      <c r="G952" s="134"/>
      <c r="H952" s="134"/>
      <c r="I952" s="134"/>
    </row>
    <row r="953" spans="1:9" ht="14.25" customHeight="1" x14ac:dyDescent="0.45">
      <c r="A953" s="132"/>
      <c r="B953" s="132"/>
      <c r="C953" s="133"/>
      <c r="D953" s="133"/>
      <c r="E953" s="133"/>
      <c r="F953" s="133"/>
      <c r="G953" s="134"/>
      <c r="H953" s="134"/>
      <c r="I953" s="134"/>
    </row>
    <row r="954" spans="1:9" ht="14.25" customHeight="1" x14ac:dyDescent="0.45">
      <c r="A954" s="132"/>
      <c r="B954" s="132"/>
      <c r="C954" s="133"/>
      <c r="D954" s="133"/>
      <c r="E954" s="133"/>
      <c r="F954" s="133"/>
      <c r="G954" s="134"/>
      <c r="H954" s="134"/>
      <c r="I954" s="134"/>
    </row>
    <row r="955" spans="1:9" ht="14.25" customHeight="1" x14ac:dyDescent="0.45">
      <c r="A955" s="132"/>
      <c r="B955" s="132"/>
      <c r="C955" s="133"/>
      <c r="D955" s="133"/>
      <c r="E955" s="133"/>
      <c r="F955" s="133"/>
      <c r="G955" s="134"/>
      <c r="H955" s="134"/>
      <c r="I955" s="134"/>
    </row>
    <row r="956" spans="1:9" ht="14.25" customHeight="1" x14ac:dyDescent="0.45">
      <c r="A956" s="132"/>
      <c r="B956" s="132"/>
      <c r="C956" s="133"/>
      <c r="D956" s="133"/>
      <c r="E956" s="133"/>
      <c r="F956" s="133"/>
      <c r="G956" s="134"/>
      <c r="H956" s="134"/>
      <c r="I956" s="134"/>
    </row>
    <row r="957" spans="1:9" ht="14.25" customHeight="1" x14ac:dyDescent="0.45">
      <c r="A957" s="132"/>
      <c r="B957" s="132"/>
      <c r="C957" s="133"/>
      <c r="D957" s="133"/>
      <c r="E957" s="133"/>
      <c r="F957" s="133"/>
      <c r="G957" s="134"/>
      <c r="H957" s="134"/>
      <c r="I957" s="134"/>
    </row>
    <row r="958" spans="1:9" ht="14.25" customHeight="1" x14ac:dyDescent="0.45">
      <c r="A958" s="132"/>
      <c r="B958" s="132"/>
      <c r="C958" s="133"/>
      <c r="D958" s="133"/>
      <c r="E958" s="133"/>
      <c r="F958" s="133"/>
      <c r="G958" s="134"/>
      <c r="H958" s="134"/>
      <c r="I958" s="134"/>
    </row>
    <row r="959" spans="1:9" ht="14.25" customHeight="1" x14ac:dyDescent="0.45">
      <c r="A959" s="132"/>
      <c r="B959" s="132"/>
      <c r="C959" s="133"/>
      <c r="D959" s="133"/>
      <c r="E959" s="133"/>
      <c r="F959" s="133"/>
      <c r="G959" s="134"/>
      <c r="H959" s="134"/>
      <c r="I959" s="134"/>
    </row>
    <row r="960" spans="1:9" ht="14.25" customHeight="1" x14ac:dyDescent="0.45">
      <c r="A960" s="132"/>
      <c r="B960" s="132"/>
      <c r="C960" s="133"/>
      <c r="D960" s="133"/>
      <c r="E960" s="133"/>
      <c r="F960" s="133"/>
      <c r="G960" s="134"/>
      <c r="H960" s="134"/>
      <c r="I960" s="134"/>
    </row>
    <row r="961" spans="1:9" ht="14.25" customHeight="1" x14ac:dyDescent="0.45">
      <c r="A961" s="132"/>
      <c r="B961" s="132"/>
      <c r="C961" s="133"/>
      <c r="D961" s="133"/>
      <c r="E961" s="133"/>
      <c r="F961" s="133"/>
      <c r="G961" s="134"/>
      <c r="H961" s="134"/>
      <c r="I961" s="134"/>
    </row>
    <row r="962" spans="1:9" ht="14.25" customHeight="1" x14ac:dyDescent="0.45">
      <c r="A962" s="132"/>
      <c r="B962" s="132"/>
      <c r="C962" s="133"/>
      <c r="D962" s="133"/>
      <c r="E962" s="133"/>
      <c r="F962" s="133"/>
      <c r="G962" s="134"/>
      <c r="H962" s="134"/>
      <c r="I962" s="134"/>
    </row>
    <row r="963" spans="1:9" ht="14.25" customHeight="1" x14ac:dyDescent="0.45">
      <c r="A963" s="132"/>
      <c r="B963" s="132"/>
      <c r="C963" s="111"/>
      <c r="D963" s="111"/>
      <c r="E963" s="111"/>
      <c r="F963" s="111"/>
      <c r="G963" s="111"/>
      <c r="H963" s="111"/>
      <c r="I963" s="111"/>
    </row>
    <row r="964" spans="1:9" ht="14.25" customHeight="1" x14ac:dyDescent="0.45">
      <c r="A964" s="132"/>
      <c r="B964" s="132"/>
      <c r="C964" s="111"/>
      <c r="D964" s="111"/>
      <c r="E964" s="111"/>
      <c r="F964" s="111"/>
      <c r="G964" s="111"/>
      <c r="H964" s="111"/>
      <c r="I964" s="111"/>
    </row>
    <row r="965" spans="1:9" ht="14.25" customHeight="1" x14ac:dyDescent="0.45">
      <c r="A965" s="132"/>
      <c r="B965" s="132"/>
      <c r="C965" s="111"/>
      <c r="D965" s="111"/>
      <c r="E965" s="111"/>
      <c r="F965" s="111"/>
      <c r="G965" s="111"/>
      <c r="H965" s="111"/>
      <c r="I965" s="111"/>
    </row>
    <row r="966" spans="1:9" ht="14.25" customHeight="1" x14ac:dyDescent="0.45">
      <c r="A966" s="132"/>
      <c r="B966" s="132"/>
      <c r="C966" s="111"/>
      <c r="D966" s="111"/>
      <c r="E966" s="111"/>
      <c r="F966" s="111"/>
      <c r="G966" s="111"/>
      <c r="H966" s="111"/>
      <c r="I966" s="111"/>
    </row>
    <row r="967" spans="1:9" ht="14.25" customHeight="1" x14ac:dyDescent="0.45">
      <c r="A967" s="132"/>
      <c r="B967" s="132"/>
      <c r="C967" s="111"/>
      <c r="D967" s="111"/>
      <c r="E967" s="111"/>
      <c r="F967" s="111"/>
      <c r="G967" s="111"/>
      <c r="H967" s="111"/>
      <c r="I967" s="111"/>
    </row>
    <row r="968" spans="1:9" ht="14.25" customHeight="1" x14ac:dyDescent="0.45">
      <c r="A968" s="132"/>
      <c r="B968" s="132"/>
      <c r="C968" s="111"/>
      <c r="D968" s="111"/>
      <c r="E968" s="111"/>
      <c r="F968" s="111"/>
      <c r="G968" s="111"/>
      <c r="H968" s="111"/>
      <c r="I968" s="111"/>
    </row>
    <row r="969" spans="1:9" ht="14.25" customHeight="1" x14ac:dyDescent="0.45">
      <c r="A969" s="132"/>
      <c r="B969" s="132"/>
      <c r="C969" s="111"/>
      <c r="D969" s="111"/>
      <c r="E969" s="111"/>
      <c r="F969" s="111"/>
      <c r="G969" s="111"/>
      <c r="H969" s="111"/>
      <c r="I969" s="111"/>
    </row>
    <row r="970" spans="1:9" ht="14.25" customHeight="1" x14ac:dyDescent="0.45">
      <c r="A970" s="132"/>
      <c r="B970" s="132"/>
      <c r="C970" s="111"/>
      <c r="D970" s="111"/>
      <c r="E970" s="111"/>
      <c r="F970" s="111"/>
      <c r="G970" s="111"/>
      <c r="H970" s="111"/>
      <c r="I970" s="111"/>
    </row>
    <row r="971" spans="1:9" ht="14.25" customHeight="1" x14ac:dyDescent="0.45">
      <c r="A971" s="132"/>
      <c r="B971" s="132"/>
      <c r="C971" s="111"/>
      <c r="D971" s="111"/>
      <c r="E971" s="111"/>
      <c r="F971" s="111"/>
      <c r="G971" s="111"/>
      <c r="H971" s="111"/>
      <c r="I971" s="111"/>
    </row>
    <row r="972" spans="1:9" ht="14.25" customHeight="1" x14ac:dyDescent="0.45">
      <c r="A972" s="132"/>
      <c r="B972" s="132"/>
      <c r="C972" s="111"/>
      <c r="D972" s="111"/>
      <c r="E972" s="111"/>
      <c r="F972" s="111"/>
      <c r="G972" s="111"/>
      <c r="H972" s="111"/>
      <c r="I972" s="111"/>
    </row>
    <row r="973" spans="1:9" ht="14.25" customHeight="1" x14ac:dyDescent="0.45">
      <c r="A973" s="132"/>
      <c r="B973" s="132"/>
      <c r="C973" s="111"/>
      <c r="D973" s="111"/>
      <c r="E973" s="111"/>
      <c r="F973" s="111"/>
      <c r="G973" s="111"/>
      <c r="H973" s="111"/>
      <c r="I973" s="111"/>
    </row>
    <row r="974" spans="1:9" ht="14.25" customHeight="1" x14ac:dyDescent="0.45">
      <c r="A974" s="132"/>
      <c r="B974" s="132"/>
      <c r="C974" s="111"/>
      <c r="D974" s="111"/>
      <c r="E974" s="111"/>
      <c r="F974" s="111"/>
      <c r="G974" s="111"/>
      <c r="H974" s="111"/>
      <c r="I974" s="111"/>
    </row>
    <row r="975" spans="1:9" ht="14.25" customHeight="1" x14ac:dyDescent="0.45">
      <c r="A975" s="132"/>
      <c r="B975" s="132"/>
      <c r="C975" s="111"/>
      <c r="D975" s="111"/>
      <c r="E975" s="111"/>
      <c r="F975" s="111"/>
      <c r="G975" s="111"/>
      <c r="H975" s="111"/>
      <c r="I975" s="111"/>
    </row>
    <row r="976" spans="1:9" ht="14.25" customHeight="1" x14ac:dyDescent="0.45">
      <c r="A976" s="132"/>
      <c r="B976" s="132"/>
      <c r="C976" s="111"/>
      <c r="D976" s="111"/>
      <c r="E976" s="111"/>
      <c r="F976" s="111"/>
      <c r="G976" s="111"/>
      <c r="H976" s="111"/>
      <c r="I976" s="111"/>
    </row>
    <row r="977" spans="1:2" ht="14.25" customHeight="1" x14ac:dyDescent="0.45">
      <c r="A977" s="132"/>
      <c r="B977" s="132"/>
    </row>
    <row r="978" spans="1:2" ht="14.25" customHeight="1" x14ac:dyDescent="0.45">
      <c r="A978" s="132"/>
      <c r="B978" s="132"/>
    </row>
    <row r="979" spans="1:2" ht="14.25" customHeight="1" x14ac:dyDescent="0.45">
      <c r="A979" s="132"/>
      <c r="B979" s="132"/>
    </row>
    <row r="980" spans="1:2" ht="14.25" customHeight="1" x14ac:dyDescent="0.45">
      <c r="A980" s="132"/>
      <c r="B980" s="132"/>
    </row>
    <row r="981" spans="1:2" ht="14.25" customHeight="1" x14ac:dyDescent="0.45">
      <c r="A981" s="132"/>
      <c r="B981" s="132"/>
    </row>
    <row r="982" spans="1:2" ht="14.25" customHeight="1" x14ac:dyDescent="0.45">
      <c r="A982" s="132"/>
      <c r="B982" s="132"/>
    </row>
    <row r="983" spans="1:2" ht="14.25" customHeight="1" x14ac:dyDescent="0.45">
      <c r="A983" s="132"/>
      <c r="B983" s="132"/>
    </row>
    <row r="984" spans="1:2" ht="14.25" customHeight="1" x14ac:dyDescent="0.45">
      <c r="A984" s="132"/>
      <c r="B984" s="132"/>
    </row>
    <row r="985" spans="1:2" ht="14.25" customHeight="1" x14ac:dyDescent="0.45">
      <c r="A985" s="132"/>
      <c r="B985" s="132"/>
    </row>
    <row r="986" spans="1:2" ht="14.25" customHeight="1" x14ac:dyDescent="0.45">
      <c r="A986" s="132"/>
      <c r="B986" s="132"/>
    </row>
    <row r="987" spans="1:2" ht="14.25" customHeight="1" x14ac:dyDescent="0.45">
      <c r="A987" s="132"/>
      <c r="B987" s="132"/>
    </row>
    <row r="988" spans="1:2" ht="14.25" customHeight="1" x14ac:dyDescent="0.45">
      <c r="A988" s="132"/>
      <c r="B988" s="132"/>
    </row>
    <row r="989" spans="1:2" ht="14.25" customHeight="1" x14ac:dyDescent="0.45">
      <c r="A989" s="132"/>
      <c r="B989" s="132"/>
    </row>
    <row r="990" spans="1:2" ht="14.25" customHeight="1" x14ac:dyDescent="0.45">
      <c r="A990" s="132"/>
      <c r="B990" s="132"/>
    </row>
    <row r="991" spans="1:2" ht="14.25" customHeight="1" x14ac:dyDescent="0.45">
      <c r="A991" s="132"/>
      <c r="B991" s="132"/>
    </row>
    <row r="992" spans="1:2" ht="14.25" customHeight="1" x14ac:dyDescent="0.45">
      <c r="A992" s="132"/>
      <c r="B992" s="132"/>
    </row>
    <row r="993" spans="1:2" ht="14.25" customHeight="1" x14ac:dyDescent="0.45">
      <c r="A993" s="132"/>
      <c r="B993" s="132"/>
    </row>
    <row r="994" spans="1:2" ht="14.25" customHeight="1" x14ac:dyDescent="0.45">
      <c r="A994" s="132"/>
      <c r="B994" s="132"/>
    </row>
    <row r="995" spans="1:2" ht="14.25" customHeight="1" x14ac:dyDescent="0.45">
      <c r="A995" s="132"/>
      <c r="B995" s="132"/>
    </row>
    <row r="996" spans="1:2" ht="14.25" customHeight="1" x14ac:dyDescent="0.45">
      <c r="A996" s="132"/>
      <c r="B996" s="132"/>
    </row>
    <row r="997" spans="1:2" ht="14.25" customHeight="1" x14ac:dyDescent="0.45">
      <c r="A997" s="132"/>
      <c r="B997" s="132"/>
    </row>
    <row r="998" spans="1:2" ht="14.25" customHeight="1" x14ac:dyDescent="0.45">
      <c r="A998" s="132"/>
      <c r="B998" s="132"/>
    </row>
    <row r="999" spans="1:2" ht="14.25" customHeight="1" x14ac:dyDescent="0.45">
      <c r="A999" s="132"/>
      <c r="B999" s="132"/>
    </row>
    <row r="1000" spans="1:2" ht="14.25" customHeight="1" x14ac:dyDescent="0.45">
      <c r="A1000" s="132"/>
      <c r="B1000" s="132"/>
    </row>
    <row r="1001" spans="1:2" ht="14.25" customHeight="1" x14ac:dyDescent="0.45">
      <c r="A1001" s="132"/>
      <c r="B1001" s="132"/>
    </row>
  </sheetData>
  <mergeCells count="14">
    <mergeCell ref="A64:A107"/>
    <mergeCell ref="B91:B107"/>
    <mergeCell ref="C20:F20"/>
    <mergeCell ref="C59:F59"/>
    <mergeCell ref="B2:B29"/>
    <mergeCell ref="A2:A62"/>
    <mergeCell ref="B46:B62"/>
    <mergeCell ref="C107:F107"/>
    <mergeCell ref="C76:F76"/>
    <mergeCell ref="C45:F45"/>
    <mergeCell ref="B30:B45"/>
    <mergeCell ref="C8:F8"/>
    <mergeCell ref="B64:B90"/>
    <mergeCell ref="C88:F88"/>
  </mergeCells>
  <hyperlinks>
    <hyperlink ref="I2" r:id="rId1" xr:uid="{00000000-0004-0000-0000-000000000000}"/>
    <hyperlink ref="I3" r:id="rId2" xr:uid="{00000000-0004-0000-0000-000001000000}"/>
    <hyperlink ref="G4" r:id="rId3" location="heading=h.w0hddchejie4" xr:uid="{00000000-0004-0000-0000-000002000000}"/>
    <hyperlink ref="I4" r:id="rId4" xr:uid="{00000000-0004-0000-0000-000003000000}"/>
    <hyperlink ref="G5" r:id="rId5" location="heading=h.ligxtsq38dk9" xr:uid="{00000000-0004-0000-0000-000004000000}"/>
    <hyperlink ref="I5" r:id="rId6" xr:uid="{00000000-0004-0000-0000-000005000000}"/>
    <hyperlink ref="I6" r:id="rId7" xr:uid="{00000000-0004-0000-0000-000006000000}"/>
    <hyperlink ref="G7" r:id="rId8" xr:uid="{00000000-0004-0000-0000-000007000000}"/>
    <hyperlink ref="I7" r:id="rId9" xr:uid="{00000000-0004-0000-0000-000008000000}"/>
    <hyperlink ref="G9" r:id="rId10" location="heading=h.rng4obkh06t7" xr:uid="{00000000-0004-0000-0000-000009000000}"/>
    <hyperlink ref="I9" r:id="rId11" xr:uid="{00000000-0004-0000-0000-00000A000000}"/>
    <hyperlink ref="G10" r:id="rId12" location="heading=h.twjijytub5cj" xr:uid="{00000000-0004-0000-0000-00000B000000}"/>
    <hyperlink ref="I10" r:id="rId13" xr:uid="{00000000-0004-0000-0000-00000C000000}"/>
    <hyperlink ref="G11" r:id="rId14" location="heading=h.6jshx4ci1vqc" xr:uid="{00000000-0004-0000-0000-00000D000000}"/>
    <hyperlink ref="I11" r:id="rId15" xr:uid="{00000000-0004-0000-0000-00000E000000}"/>
    <hyperlink ref="G12" r:id="rId16" location="heading=h.qfdj2xt6itp1" xr:uid="{00000000-0004-0000-0000-00000F000000}"/>
    <hyperlink ref="I12" r:id="rId17" xr:uid="{00000000-0004-0000-0000-000010000000}"/>
    <hyperlink ref="I13" r:id="rId18" xr:uid="{00000000-0004-0000-0000-000011000000}"/>
    <hyperlink ref="I14" r:id="rId19" xr:uid="{00000000-0004-0000-0000-000012000000}"/>
    <hyperlink ref="I15" r:id="rId20" xr:uid="{00000000-0004-0000-0000-000013000000}"/>
    <hyperlink ref="I16" r:id="rId21" xr:uid="{00000000-0004-0000-0000-000014000000}"/>
    <hyperlink ref="I17" r:id="rId22" xr:uid="{00000000-0004-0000-0000-000015000000}"/>
    <hyperlink ref="I18" r:id="rId23" xr:uid="{00000000-0004-0000-0000-000016000000}"/>
    <hyperlink ref="I19" r:id="rId24" xr:uid="{00000000-0004-0000-0000-000017000000}"/>
    <hyperlink ref="I21" r:id="rId25" xr:uid="{00000000-0004-0000-0000-000018000000}"/>
    <hyperlink ref="I22" r:id="rId26" xr:uid="{00000000-0004-0000-0000-000019000000}"/>
    <hyperlink ref="I23" r:id="rId27" xr:uid="{00000000-0004-0000-0000-00001A000000}"/>
    <hyperlink ref="I24" r:id="rId28" xr:uid="{00000000-0004-0000-0000-00001B000000}"/>
    <hyperlink ref="I25" r:id="rId29" xr:uid="{00000000-0004-0000-0000-00001C000000}"/>
    <hyperlink ref="I26" r:id="rId30" xr:uid="{00000000-0004-0000-0000-00001D000000}"/>
    <hyperlink ref="I27" r:id="rId31" xr:uid="{00000000-0004-0000-0000-00001E000000}"/>
    <hyperlink ref="I28" r:id="rId32" xr:uid="{00000000-0004-0000-0000-00001F000000}"/>
    <hyperlink ref="I29" r:id="rId33" xr:uid="{00000000-0004-0000-0000-000020000000}"/>
    <hyperlink ref="I30" r:id="rId34" xr:uid="{00000000-0004-0000-0000-000021000000}"/>
    <hyperlink ref="I31" r:id="rId35" xr:uid="{00000000-0004-0000-0000-000022000000}"/>
    <hyperlink ref="I32" r:id="rId36" xr:uid="{00000000-0004-0000-0000-000023000000}"/>
    <hyperlink ref="I33" r:id="rId37" xr:uid="{00000000-0004-0000-0000-000024000000}"/>
    <hyperlink ref="I34" r:id="rId38" xr:uid="{00000000-0004-0000-0000-000025000000}"/>
    <hyperlink ref="I35" r:id="rId39" xr:uid="{00000000-0004-0000-0000-000026000000}"/>
    <hyperlink ref="I36" r:id="rId40" xr:uid="{00000000-0004-0000-0000-000027000000}"/>
    <hyperlink ref="I37" r:id="rId41" xr:uid="{00000000-0004-0000-0000-000028000000}"/>
    <hyperlink ref="I38" r:id="rId42" xr:uid="{00000000-0004-0000-0000-000029000000}"/>
    <hyperlink ref="I39" r:id="rId43" xr:uid="{00000000-0004-0000-0000-00002A000000}"/>
    <hyperlink ref="I40" r:id="rId44" xr:uid="{00000000-0004-0000-0000-00002B000000}"/>
    <hyperlink ref="I41" r:id="rId45" xr:uid="{00000000-0004-0000-0000-00002C000000}"/>
    <hyperlink ref="I42" r:id="rId46" xr:uid="{00000000-0004-0000-0000-00002D000000}"/>
    <hyperlink ref="I43" r:id="rId47" xr:uid="{00000000-0004-0000-0000-00002E000000}"/>
    <hyperlink ref="I44" r:id="rId48" xr:uid="{00000000-0004-0000-0000-00002F000000}"/>
    <hyperlink ref="I46" r:id="rId49" xr:uid="{00000000-0004-0000-0000-000030000000}"/>
    <hyperlink ref="I47" r:id="rId50" xr:uid="{00000000-0004-0000-0000-000031000000}"/>
    <hyperlink ref="I48" r:id="rId51" xr:uid="{00000000-0004-0000-0000-000032000000}"/>
    <hyperlink ref="I49" r:id="rId52" xr:uid="{00000000-0004-0000-0000-000033000000}"/>
    <hyperlink ref="I50" r:id="rId53" xr:uid="{00000000-0004-0000-0000-000034000000}"/>
    <hyperlink ref="I51" r:id="rId54" xr:uid="{00000000-0004-0000-0000-000035000000}"/>
    <hyperlink ref="I52" r:id="rId55" xr:uid="{00000000-0004-0000-0000-000036000000}"/>
    <hyperlink ref="I54" r:id="rId56" xr:uid="{00000000-0004-0000-0000-000037000000}"/>
    <hyperlink ref="I55" r:id="rId57" xr:uid="{00000000-0004-0000-0000-000038000000}"/>
    <hyperlink ref="I57" r:id="rId58" xr:uid="{00000000-0004-0000-0000-000039000000}"/>
    <hyperlink ref="I58" r:id="rId59" xr:uid="{00000000-0004-0000-0000-00003A000000}"/>
    <hyperlink ref="I60" r:id="rId60" xr:uid="{00000000-0004-0000-0000-00003B000000}"/>
    <hyperlink ref="I61" r:id="rId61" xr:uid="{00000000-0004-0000-0000-00003C000000}"/>
    <hyperlink ref="I62" r:id="rId62" xr:uid="{00000000-0004-0000-0000-00003D000000}"/>
    <hyperlink ref="G63" r:id="rId63" location="slide=id.p10" xr:uid="{00000000-0004-0000-0000-00003E000000}"/>
    <hyperlink ref="I63" r:id="rId64" xr:uid="{00000000-0004-0000-0000-00003F000000}"/>
    <hyperlink ref="I64" r:id="rId65" xr:uid="{00000000-0004-0000-0000-000040000000}"/>
    <hyperlink ref="I65" r:id="rId66" xr:uid="{00000000-0004-0000-0000-000041000000}"/>
    <hyperlink ref="I67" r:id="rId67" xr:uid="{00000000-0004-0000-0000-000042000000}"/>
    <hyperlink ref="I68" r:id="rId68" xr:uid="{00000000-0004-0000-0000-000043000000}"/>
    <hyperlink ref="I69" r:id="rId69" xr:uid="{00000000-0004-0000-0000-000044000000}"/>
    <hyperlink ref="G70" r:id="rId70" xr:uid="{00000000-0004-0000-0000-000045000000}"/>
    <hyperlink ref="I70" r:id="rId71" xr:uid="{00000000-0004-0000-0000-000046000000}"/>
    <hyperlink ref="I71" r:id="rId72" xr:uid="{00000000-0004-0000-0000-000047000000}"/>
    <hyperlink ref="I72" r:id="rId73" xr:uid="{00000000-0004-0000-0000-000048000000}"/>
    <hyperlink ref="I74" r:id="rId74" xr:uid="{00000000-0004-0000-0000-000049000000}"/>
    <hyperlink ref="I75" r:id="rId75" xr:uid="{00000000-0004-0000-0000-00004A000000}"/>
    <hyperlink ref="I77" r:id="rId76" xr:uid="{00000000-0004-0000-0000-00004B000000}"/>
    <hyperlink ref="I78" r:id="rId77" xr:uid="{00000000-0004-0000-0000-00004C000000}"/>
    <hyperlink ref="I80" r:id="rId78" xr:uid="{00000000-0004-0000-0000-00004D000000}"/>
    <hyperlink ref="I81" r:id="rId79" xr:uid="{00000000-0004-0000-0000-00004E000000}"/>
    <hyperlink ref="I82" r:id="rId80" xr:uid="{00000000-0004-0000-0000-00004F000000}"/>
    <hyperlink ref="I83" r:id="rId81" xr:uid="{00000000-0004-0000-0000-000050000000}"/>
    <hyperlink ref="I84" r:id="rId82" xr:uid="{00000000-0004-0000-0000-000051000000}"/>
    <hyperlink ref="I85" r:id="rId83" xr:uid="{00000000-0004-0000-0000-000052000000}"/>
    <hyperlink ref="I86" r:id="rId84" xr:uid="{00000000-0004-0000-0000-000053000000}"/>
    <hyperlink ref="I87" r:id="rId85" xr:uid="{00000000-0004-0000-0000-000054000000}"/>
    <hyperlink ref="I89" r:id="rId86" xr:uid="{00000000-0004-0000-0000-000055000000}"/>
    <hyperlink ref="I90" r:id="rId87" xr:uid="{00000000-0004-0000-0000-000056000000}"/>
    <hyperlink ref="I91" r:id="rId88" xr:uid="{00000000-0004-0000-0000-000057000000}"/>
    <hyperlink ref="I92" r:id="rId89" xr:uid="{00000000-0004-0000-0000-000058000000}"/>
    <hyperlink ref="I93" r:id="rId90" xr:uid="{00000000-0004-0000-0000-000059000000}"/>
    <hyperlink ref="I94" r:id="rId91" xr:uid="{00000000-0004-0000-0000-00005A000000}"/>
    <hyperlink ref="I95" r:id="rId92" xr:uid="{00000000-0004-0000-0000-00005B000000}"/>
    <hyperlink ref="I96" r:id="rId93" xr:uid="{00000000-0004-0000-0000-00005C000000}"/>
    <hyperlink ref="I97" r:id="rId94" xr:uid="{00000000-0004-0000-0000-00005D000000}"/>
    <hyperlink ref="I98" r:id="rId95" xr:uid="{00000000-0004-0000-0000-00005E000000}"/>
    <hyperlink ref="I99" r:id="rId96" xr:uid="{00000000-0004-0000-0000-00005F000000}"/>
    <hyperlink ref="I100" r:id="rId97" xr:uid="{00000000-0004-0000-0000-000060000000}"/>
    <hyperlink ref="I101" r:id="rId98" xr:uid="{00000000-0004-0000-0000-000061000000}"/>
    <hyperlink ref="I102" r:id="rId99" xr:uid="{00000000-0004-0000-0000-000062000000}"/>
    <hyperlink ref="I103" r:id="rId100" xr:uid="{00000000-0004-0000-0000-000063000000}"/>
    <hyperlink ref="I104" r:id="rId101" xr:uid="{00000000-0004-0000-0000-000064000000}"/>
    <hyperlink ref="I105" r:id="rId102" xr:uid="{00000000-0004-0000-0000-000065000000}"/>
    <hyperlink ref="I106" r:id="rId103" xr:uid="{00000000-0004-0000-0000-000066000000}"/>
  </hyperlinks>
  <pageMargins left="0.7" right="0.7" top="0.75" bottom="0.75" header="0" footer="0"/>
  <pageSetup paperSize="9"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000"/>
  <sheetViews>
    <sheetView zoomScale="70" zoomScaleNormal="70" workbookViewId="0">
      <pane ySplit="1" topLeftCell="A44" activePane="bottomLeft" state="frozen"/>
      <selection pane="bottomLeft" activeCell="C96" sqref="C96:L96"/>
    </sheetView>
  </sheetViews>
  <sheetFormatPr defaultColWidth="14.3984375" defaultRowHeight="15" customHeight="1" x14ac:dyDescent="0.45"/>
  <cols>
    <col min="1" max="2" width="14.3984375" style="220"/>
    <col min="3" max="3" width="20" style="220" customWidth="1"/>
    <col min="4" max="4" width="30" style="220" customWidth="1"/>
    <col min="5" max="5" width="71.73046875" style="220" customWidth="1"/>
    <col min="6" max="6" width="21.59765625" style="220" customWidth="1"/>
    <col min="7" max="7" width="55" style="220" customWidth="1"/>
    <col min="8" max="8" width="41.59765625" style="220" customWidth="1"/>
    <col min="9" max="10" width="55" style="220" customWidth="1"/>
    <col min="11" max="16384" width="14.3984375" style="220"/>
  </cols>
  <sheetData>
    <row r="1" spans="1:12" ht="52.5" customHeight="1" x14ac:dyDescent="0.45">
      <c r="A1" s="46"/>
      <c r="B1" s="46"/>
      <c r="C1" s="135" t="s">
        <v>1</v>
      </c>
      <c r="D1" s="135" t="s">
        <v>2</v>
      </c>
      <c r="E1" s="135" t="s">
        <v>3</v>
      </c>
      <c r="F1" s="135" t="s">
        <v>4</v>
      </c>
      <c r="G1" s="136" t="s">
        <v>5</v>
      </c>
      <c r="H1" s="47" t="s">
        <v>6</v>
      </c>
      <c r="I1" s="135" t="s">
        <v>7</v>
      </c>
      <c r="J1" s="135" t="s">
        <v>8</v>
      </c>
      <c r="K1" s="219" t="s">
        <v>9</v>
      </c>
      <c r="L1" s="219" t="s">
        <v>10</v>
      </c>
    </row>
    <row r="2" spans="1:12" ht="356.25" customHeight="1" x14ac:dyDescent="0.45">
      <c r="A2" s="246" t="s">
        <v>11</v>
      </c>
      <c r="B2" s="249" t="s">
        <v>12</v>
      </c>
      <c r="C2" s="169" t="str">
        <f>HYPERLINK("https://drive.google.com/drive/folders/1qDFM9jQFk1OAsSR6EQco2UVXfyN5_Aym", "Lesson 1")</f>
        <v>Lesson 1</v>
      </c>
      <c r="D2" s="170" t="s">
        <v>739</v>
      </c>
      <c r="E2" s="171" t="s">
        <v>740</v>
      </c>
      <c r="F2" s="172" t="s">
        <v>741</v>
      </c>
      <c r="G2" s="173" t="s">
        <v>742</v>
      </c>
      <c r="H2" s="174" t="s">
        <v>743</v>
      </c>
      <c r="I2" s="175" t="s">
        <v>744</v>
      </c>
      <c r="J2" s="176" t="s">
        <v>745</v>
      </c>
      <c r="K2" s="219" t="s">
        <v>746</v>
      </c>
      <c r="L2" s="217" t="s">
        <v>747</v>
      </c>
    </row>
    <row r="3" spans="1:12" ht="331.5" customHeight="1" x14ac:dyDescent="0.45">
      <c r="A3" s="247"/>
      <c r="B3" s="247"/>
      <c r="C3" s="179" t="str">
        <f>HYPERLINK("https://drive.google.com/drive/folders/1qeTTafr-oPGY2fu_kPByo4LvOWKNxtXg", "Lesson 2")</f>
        <v>Lesson 2</v>
      </c>
      <c r="D3" s="172" t="s">
        <v>748</v>
      </c>
      <c r="E3" s="177" t="s">
        <v>749</v>
      </c>
      <c r="F3" s="172" t="s">
        <v>750</v>
      </c>
      <c r="G3" s="173" t="s">
        <v>751</v>
      </c>
      <c r="H3" s="178" t="s">
        <v>752</v>
      </c>
      <c r="I3" s="175" t="s">
        <v>753</v>
      </c>
      <c r="J3" s="217" t="s">
        <v>754</v>
      </c>
      <c r="K3" s="219" t="s">
        <v>755</v>
      </c>
      <c r="L3" s="217" t="s">
        <v>756</v>
      </c>
    </row>
    <row r="4" spans="1:12" ht="293.25" customHeight="1" x14ac:dyDescent="0.45">
      <c r="A4" s="247"/>
      <c r="B4" s="247"/>
      <c r="C4" s="179" t="str">
        <f>HYPERLINK("https://drive.google.com/drive/folders/1qTEIlH_GlZYZj0WTufJlhURcuGLc28rk", "Lesson 3")</f>
        <v>Lesson 3</v>
      </c>
      <c r="D4" s="172" t="s">
        <v>757</v>
      </c>
      <c r="E4" s="177" t="s">
        <v>758</v>
      </c>
      <c r="F4" s="172" t="s">
        <v>759</v>
      </c>
      <c r="G4" s="173" t="s">
        <v>760</v>
      </c>
      <c r="H4" s="178" t="s">
        <v>761</v>
      </c>
      <c r="I4" s="175" t="s">
        <v>762</v>
      </c>
      <c r="J4" s="217" t="s">
        <v>763</v>
      </c>
      <c r="K4" s="217" t="s">
        <v>764</v>
      </c>
      <c r="L4" s="219"/>
    </row>
    <row r="5" spans="1:12" ht="285" customHeight="1" x14ac:dyDescent="0.45">
      <c r="A5" s="247"/>
      <c r="B5" s="247"/>
      <c r="C5" s="179" t="str">
        <f>HYPERLINK("https://drive.google.com/drive/folders/1qkIIY9QxP2M5rpF_gBy4X27VN_lNvMcC", "Lesson 4")</f>
        <v>Lesson 4</v>
      </c>
      <c r="D5" s="172" t="s">
        <v>765</v>
      </c>
      <c r="E5" s="177" t="s">
        <v>766</v>
      </c>
      <c r="F5" s="172" t="s">
        <v>767</v>
      </c>
      <c r="G5" s="173" t="s">
        <v>768</v>
      </c>
      <c r="H5" s="174"/>
      <c r="I5" s="175" t="s">
        <v>769</v>
      </c>
      <c r="J5" s="223" t="s">
        <v>770</v>
      </c>
      <c r="K5" s="219" t="s">
        <v>771</v>
      </c>
      <c r="L5" s="217"/>
    </row>
    <row r="6" spans="1:12" ht="170.65" customHeight="1" x14ac:dyDescent="0.45">
      <c r="A6" s="247"/>
      <c r="B6" s="247"/>
      <c r="C6" s="179" t="str">
        <f>HYPERLINK("https://drive.google.com/drive/folders/1qybhKJFNX541jqDGQCpSQi4dcul2OE5J", "Lesson 5")</f>
        <v>Lesson 5</v>
      </c>
      <c r="D6" s="180" t="s">
        <v>772</v>
      </c>
      <c r="E6" s="181" t="s">
        <v>773</v>
      </c>
      <c r="F6" s="180" t="s">
        <v>774</v>
      </c>
      <c r="G6" s="173" t="s">
        <v>775</v>
      </c>
      <c r="H6" s="182" t="s">
        <v>776</v>
      </c>
      <c r="I6" s="175" t="s">
        <v>777</v>
      </c>
      <c r="J6" s="223" t="s">
        <v>778</v>
      </c>
      <c r="K6" s="219" t="s">
        <v>779</v>
      </c>
      <c r="L6" s="217" t="s">
        <v>780</v>
      </c>
    </row>
    <row r="7" spans="1:12" ht="114" customHeight="1" x14ac:dyDescent="0.45">
      <c r="A7" s="247"/>
      <c r="B7" s="247"/>
      <c r="C7" s="179" t="str">
        <f>HYPERLINK("https://drive.google.com/drive/folders/1rQ4K5Ssm8-74LRUmXT1cVXYZIAgDQZlJ", "Lesson 6")</f>
        <v>Lesson 6</v>
      </c>
      <c r="D7" s="180" t="s">
        <v>781</v>
      </c>
      <c r="E7" s="181" t="s">
        <v>782</v>
      </c>
      <c r="F7" s="180" t="s">
        <v>783</v>
      </c>
      <c r="G7" s="173" t="s">
        <v>784</v>
      </c>
      <c r="H7" s="174" t="s">
        <v>785</v>
      </c>
      <c r="I7" s="175" t="s">
        <v>786</v>
      </c>
      <c r="J7" s="224" t="s">
        <v>787</v>
      </c>
      <c r="K7" s="219" t="s">
        <v>788</v>
      </c>
      <c r="L7" s="217" t="s">
        <v>789</v>
      </c>
    </row>
    <row r="8" spans="1:12" ht="306" customHeight="1" x14ac:dyDescent="0.45">
      <c r="A8" s="247"/>
      <c r="B8" s="247"/>
      <c r="C8" s="179" t="str">
        <f>HYPERLINK("https://drive.google.com/drive/folders/1rF0bp2DVqX5fJHeZjVafZCxu0KNPxfh1", "Lesson 7")</f>
        <v>Lesson 7</v>
      </c>
      <c r="D8" s="180" t="s">
        <v>790</v>
      </c>
      <c r="E8" s="181" t="s">
        <v>791</v>
      </c>
      <c r="F8" s="180" t="s">
        <v>792</v>
      </c>
      <c r="G8" s="173" t="s">
        <v>793</v>
      </c>
      <c r="H8" s="178" t="s">
        <v>794</v>
      </c>
      <c r="I8" s="175" t="s">
        <v>795</v>
      </c>
      <c r="J8" s="217" t="s">
        <v>796</v>
      </c>
      <c r="K8" s="219" t="s">
        <v>797</v>
      </c>
      <c r="L8" s="217" t="s">
        <v>798</v>
      </c>
    </row>
    <row r="9" spans="1:12" ht="255" customHeight="1" x14ac:dyDescent="0.45">
      <c r="A9" s="247"/>
      <c r="B9" s="247"/>
      <c r="C9" s="179" t="str">
        <f>HYPERLINK("https://drive.google.com/drive/folders/1re-QqCKykUI6WO8d6i02OvRv_l4MGPb6", "Lesson 8")</f>
        <v>Lesson 8</v>
      </c>
      <c r="D9" s="180" t="s">
        <v>799</v>
      </c>
      <c r="E9" s="181" t="s">
        <v>800</v>
      </c>
      <c r="F9" s="180" t="s">
        <v>801</v>
      </c>
      <c r="G9" s="173" t="s">
        <v>802</v>
      </c>
      <c r="H9" s="178"/>
      <c r="I9" s="175" t="s">
        <v>803</v>
      </c>
      <c r="J9" s="223" t="s">
        <v>804</v>
      </c>
      <c r="K9" s="219" t="s">
        <v>805</v>
      </c>
      <c r="L9" s="219"/>
    </row>
    <row r="10" spans="1:12" ht="242.25" customHeight="1" x14ac:dyDescent="0.45">
      <c r="A10" s="247"/>
      <c r="B10" s="247"/>
      <c r="C10" s="179" t="str">
        <f>HYPERLINK("https://drive.google.com/drive/folders/1rkM3KCnkE6pGkIJNAxsrtFV2_EVTQuZ0", "Lesson 9")</f>
        <v>Lesson 9</v>
      </c>
      <c r="D10" s="180" t="s">
        <v>806</v>
      </c>
      <c r="E10" s="181" t="s">
        <v>807</v>
      </c>
      <c r="F10" s="180" t="s">
        <v>808</v>
      </c>
      <c r="G10" s="173" t="s">
        <v>802</v>
      </c>
      <c r="H10" s="178"/>
      <c r="I10" s="175" t="s">
        <v>809</v>
      </c>
      <c r="J10" s="223" t="s">
        <v>810</v>
      </c>
      <c r="K10" s="219" t="s">
        <v>811</v>
      </c>
      <c r="L10" s="217"/>
    </row>
    <row r="11" spans="1:12" ht="255" customHeight="1" x14ac:dyDescent="0.45">
      <c r="A11" s="247"/>
      <c r="B11" s="247"/>
      <c r="C11" s="179" t="str">
        <f>HYPERLINK("https://drive.google.com/drive/folders/1qCSohUSyJWYQmlD8yD8aGGmWOUVLZPJa", "Lesson 10")</f>
        <v>Lesson 10</v>
      </c>
      <c r="D11" s="180" t="s">
        <v>812</v>
      </c>
      <c r="E11" s="181" t="s">
        <v>813</v>
      </c>
      <c r="F11" s="180" t="s">
        <v>814</v>
      </c>
      <c r="G11" s="173" t="s">
        <v>815</v>
      </c>
      <c r="H11" s="178" t="s">
        <v>816</v>
      </c>
      <c r="I11" s="175" t="s">
        <v>817</v>
      </c>
      <c r="J11" s="224" t="s">
        <v>818</v>
      </c>
      <c r="K11" s="219" t="s">
        <v>819</v>
      </c>
      <c r="L11" s="217" t="s">
        <v>820</v>
      </c>
    </row>
    <row r="12" spans="1:12" ht="267.75" customHeight="1" x14ac:dyDescent="0.45">
      <c r="A12" s="247"/>
      <c r="B12" s="247"/>
      <c r="C12" s="179" t="str">
        <f>HYPERLINK("https://drive.google.com/drive/folders/1q1npQZa4ajE1Xx23F2Xi9bFfbex0ZSLd", "Lesson 11")</f>
        <v>Lesson 11</v>
      </c>
      <c r="D12" s="180" t="s">
        <v>821</v>
      </c>
      <c r="E12" s="181" t="s">
        <v>822</v>
      </c>
      <c r="F12" s="180" t="s">
        <v>823</v>
      </c>
      <c r="G12" s="173" t="s">
        <v>802</v>
      </c>
      <c r="H12" s="178"/>
      <c r="I12" s="175" t="s">
        <v>824</v>
      </c>
      <c r="J12" s="223" t="s">
        <v>825</v>
      </c>
      <c r="K12" s="219" t="s">
        <v>826</v>
      </c>
      <c r="L12" s="219"/>
    </row>
    <row r="13" spans="1:12" ht="409.5" customHeight="1" x14ac:dyDescent="0.45">
      <c r="A13" s="247"/>
      <c r="B13" s="247"/>
      <c r="C13" s="179" t="str">
        <f>HYPERLINK("https://drive.google.com/drive/folders/1qKnHhp3WCFvqo-3Sc8RUtwxJjcKaX1M2", "Lesson 12")</f>
        <v>Lesson 12</v>
      </c>
      <c r="D13" s="180" t="s">
        <v>827</v>
      </c>
      <c r="E13" s="181" t="s">
        <v>828</v>
      </c>
      <c r="F13" s="180" t="s">
        <v>829</v>
      </c>
      <c r="G13" s="173" t="s">
        <v>830</v>
      </c>
      <c r="H13" s="182" t="s">
        <v>831</v>
      </c>
      <c r="I13" s="175" t="s">
        <v>832</v>
      </c>
      <c r="J13" s="223" t="s">
        <v>833</v>
      </c>
      <c r="K13" s="219" t="s">
        <v>834</v>
      </c>
      <c r="L13" s="219" t="s">
        <v>835</v>
      </c>
    </row>
    <row r="14" spans="1:12" ht="63.75" customHeight="1" x14ac:dyDescent="0.45">
      <c r="A14" s="247"/>
      <c r="B14" s="247"/>
      <c r="C14" s="251" t="s">
        <v>58</v>
      </c>
      <c r="D14" s="252"/>
      <c r="E14" s="252"/>
      <c r="F14" s="253"/>
      <c r="G14" s="173"/>
      <c r="H14" s="178"/>
      <c r="I14" s="183" t="s">
        <v>58</v>
      </c>
      <c r="J14" s="224"/>
      <c r="K14" s="219"/>
      <c r="L14" s="219" t="s">
        <v>836</v>
      </c>
    </row>
    <row r="15" spans="1:12" ht="331.5" customHeight="1" x14ac:dyDescent="0.45">
      <c r="A15" s="247"/>
      <c r="B15" s="247"/>
      <c r="C15" s="179" t="str">
        <f>HYPERLINK("https://drive.google.com/drive/folders/1qFs00daMtBeXIyYgJT5l3_nm_6PZIf8y", "Lesson 15")</f>
        <v>Lesson 15</v>
      </c>
      <c r="D15" s="180" t="s">
        <v>837</v>
      </c>
      <c r="E15" s="181" t="s">
        <v>838</v>
      </c>
      <c r="F15" s="180" t="s">
        <v>839</v>
      </c>
      <c r="G15" s="173" t="s">
        <v>802</v>
      </c>
      <c r="H15" s="178"/>
      <c r="I15" s="175" t="s">
        <v>840</v>
      </c>
      <c r="J15" s="223" t="s">
        <v>841</v>
      </c>
      <c r="K15" s="219" t="s">
        <v>842</v>
      </c>
      <c r="L15" s="219"/>
    </row>
    <row r="16" spans="1:12" ht="406.9" customHeight="1" x14ac:dyDescent="0.45">
      <c r="A16" s="247"/>
      <c r="B16" s="247"/>
      <c r="C16" s="179" t="str">
        <f>HYPERLINK("https://drive.google.com/drive/folders/1qETYx8IKLRwTO2gEcaf_TTFCZrgJrwiy", "Lesson 16")</f>
        <v>Lesson 16</v>
      </c>
      <c r="D16" s="180" t="s">
        <v>843</v>
      </c>
      <c r="E16" s="177" t="s">
        <v>844</v>
      </c>
      <c r="F16" s="172" t="s">
        <v>839</v>
      </c>
      <c r="G16" s="173" t="s">
        <v>845</v>
      </c>
      <c r="H16" s="182" t="s">
        <v>846</v>
      </c>
      <c r="I16" s="175" t="s">
        <v>847</v>
      </c>
      <c r="J16" s="223" t="s">
        <v>848</v>
      </c>
      <c r="K16" s="219" t="s">
        <v>849</v>
      </c>
      <c r="L16" s="217"/>
    </row>
    <row r="17" spans="1:12" ht="262.5" customHeight="1" x14ac:dyDescent="0.45">
      <c r="A17" s="247"/>
      <c r="B17" s="247"/>
      <c r="C17" s="179" t="str">
        <f>HYPERLINK("https://drive.google.com/drive/folders/1qDngT8-Mws4UtH3ZTjuiJILGYqP2jm96", "Lesson 17")</f>
        <v>Lesson 17</v>
      </c>
      <c r="D17" s="180" t="s">
        <v>850</v>
      </c>
      <c r="E17" s="177" t="s">
        <v>851</v>
      </c>
      <c r="F17" s="172" t="s">
        <v>852</v>
      </c>
      <c r="G17" s="173" t="s">
        <v>853</v>
      </c>
      <c r="H17" s="182" t="s">
        <v>854</v>
      </c>
      <c r="I17" s="175" t="s">
        <v>855</v>
      </c>
      <c r="J17" s="224" t="s">
        <v>856</v>
      </c>
      <c r="K17" s="219" t="s">
        <v>857</v>
      </c>
      <c r="L17" s="217" t="s">
        <v>858</v>
      </c>
    </row>
    <row r="18" spans="1:12" ht="313.5" customHeight="1" x14ac:dyDescent="0.45">
      <c r="A18" s="247"/>
      <c r="B18" s="247"/>
      <c r="C18" s="179" t="str">
        <f>HYPERLINK("https://drive.google.com/drive/folders/1qgh_dt1sOWaHYvTnMYSiZI_7GAhi0BM1", "Lesson 18")</f>
        <v>Lesson 18</v>
      </c>
      <c r="D18" s="180" t="s">
        <v>859</v>
      </c>
      <c r="E18" s="181" t="s">
        <v>860</v>
      </c>
      <c r="F18" s="180" t="s">
        <v>861</v>
      </c>
      <c r="G18" s="173" t="s">
        <v>862</v>
      </c>
      <c r="H18" s="174" t="s">
        <v>863</v>
      </c>
      <c r="I18" s="175" t="s">
        <v>864</v>
      </c>
      <c r="J18" s="223" t="s">
        <v>865</v>
      </c>
      <c r="K18" s="219" t="s">
        <v>866</v>
      </c>
      <c r="L18" s="219" t="s">
        <v>867</v>
      </c>
    </row>
    <row r="19" spans="1:12" ht="288.75" customHeight="1" x14ac:dyDescent="0.45">
      <c r="A19" s="247"/>
      <c r="B19" s="247"/>
      <c r="C19" s="179" t="str">
        <f>HYPERLINK("https://drive.google.com/drive/folders/1qfMZKM5g-VK3JJZ__nTgItCC84UKlC3J", "Lesson 19")</f>
        <v>Lesson 19</v>
      </c>
      <c r="D19" s="180" t="s">
        <v>868</v>
      </c>
      <c r="E19" s="181" t="s">
        <v>869</v>
      </c>
      <c r="F19" s="180" t="s">
        <v>870</v>
      </c>
      <c r="G19" s="173" t="s">
        <v>802</v>
      </c>
      <c r="H19" s="182"/>
      <c r="I19" s="175" t="s">
        <v>871</v>
      </c>
      <c r="J19" s="223" t="s">
        <v>872</v>
      </c>
      <c r="K19" s="219" t="s">
        <v>873</v>
      </c>
      <c r="L19" s="219"/>
    </row>
    <row r="20" spans="1:12" ht="255" customHeight="1" x14ac:dyDescent="0.45">
      <c r="A20" s="247"/>
      <c r="B20" s="247"/>
      <c r="C20" s="179" t="str">
        <f>HYPERLINK("https://drive.google.com/drive/folders/1qcmiISYqNUykTyBd_kNxoxGb_XFQB4kk", "Lesson 20")</f>
        <v>Lesson 20</v>
      </c>
      <c r="D20" s="180" t="s">
        <v>874</v>
      </c>
      <c r="E20" s="181" t="s">
        <v>875</v>
      </c>
      <c r="F20" s="180" t="s">
        <v>876</v>
      </c>
      <c r="G20" s="173" t="s">
        <v>877</v>
      </c>
      <c r="H20" s="178" t="s">
        <v>878</v>
      </c>
      <c r="I20" s="175" t="s">
        <v>879</v>
      </c>
      <c r="J20" s="224" t="s">
        <v>880</v>
      </c>
      <c r="K20" s="219" t="s">
        <v>881</v>
      </c>
      <c r="L20" s="217" t="s">
        <v>882</v>
      </c>
    </row>
    <row r="21" spans="1:12" ht="280.5" customHeight="1" x14ac:dyDescent="0.45">
      <c r="A21" s="247"/>
      <c r="B21" s="247"/>
      <c r="C21" s="179" t="str">
        <f>HYPERLINK("https://drive.google.com/drive/folders/1qbrSfJyMI7NnA1EN_DXeBSyb5Oiz9UFA", "Lesson 21")</f>
        <v>Lesson 21</v>
      </c>
      <c r="D21" s="180" t="s">
        <v>883</v>
      </c>
      <c r="E21" s="181" t="s">
        <v>884</v>
      </c>
      <c r="F21" s="180" t="s">
        <v>885</v>
      </c>
      <c r="G21" s="173" t="s">
        <v>886</v>
      </c>
      <c r="H21" s="178" t="s">
        <v>887</v>
      </c>
      <c r="I21" s="175" t="s">
        <v>888</v>
      </c>
      <c r="J21" s="183" t="s">
        <v>889</v>
      </c>
      <c r="K21" s="219" t="s">
        <v>890</v>
      </c>
      <c r="L21" s="217" t="s">
        <v>891</v>
      </c>
    </row>
    <row r="22" spans="1:12" ht="344.25" customHeight="1" x14ac:dyDescent="0.45">
      <c r="A22" s="247"/>
      <c r="B22" s="247"/>
      <c r="C22" s="179" t="str">
        <f>HYPERLINK("https://drive.google.com/drive/folders/1qbKwcwaq13KL70F0gWIRO8-UkJdn0CKU", "Lesson 22")</f>
        <v>Lesson 22</v>
      </c>
      <c r="D22" s="180" t="s">
        <v>892</v>
      </c>
      <c r="E22" s="181" t="s">
        <v>893</v>
      </c>
      <c r="F22" s="184" t="s">
        <v>894</v>
      </c>
      <c r="G22" s="173" t="s">
        <v>802</v>
      </c>
      <c r="H22" s="178"/>
      <c r="I22" s="175" t="s">
        <v>895</v>
      </c>
      <c r="J22" s="183" t="s">
        <v>896</v>
      </c>
      <c r="K22" s="219" t="s">
        <v>897</v>
      </c>
      <c r="L22" s="219"/>
    </row>
    <row r="23" spans="1:12" ht="280.5" customHeight="1" x14ac:dyDescent="0.45">
      <c r="A23" s="247"/>
      <c r="B23" s="247"/>
      <c r="C23" s="179" t="str">
        <f>HYPERLINK("https://drive.google.com/drive/folders/1qapuahHwM6Vk-YCw6yzJQQ7RU1sU1b7B", "Lesson 23")</f>
        <v>Lesson 23</v>
      </c>
      <c r="D23" s="180" t="s">
        <v>898</v>
      </c>
      <c r="E23" s="177" t="s">
        <v>899</v>
      </c>
      <c r="F23" s="172" t="s">
        <v>900</v>
      </c>
      <c r="G23" s="173" t="s">
        <v>802</v>
      </c>
      <c r="H23" s="178" t="s">
        <v>901</v>
      </c>
      <c r="I23" s="175" t="s">
        <v>902</v>
      </c>
      <c r="J23" s="183" t="s">
        <v>903</v>
      </c>
      <c r="K23" s="219" t="s">
        <v>904</v>
      </c>
      <c r="L23" s="217" t="s">
        <v>905</v>
      </c>
    </row>
    <row r="24" spans="1:12" ht="280.5" customHeight="1" x14ac:dyDescent="0.45">
      <c r="A24" s="247"/>
      <c r="B24" s="247"/>
      <c r="C24" s="179" t="str">
        <f>HYPERLINK("https://drive.google.com/drive/folders/1q_jXybZTp2KzW8ztt0bx8aM9QQU6m09T", "Lesson 24")</f>
        <v>Lesson 24</v>
      </c>
      <c r="D24" s="180" t="s">
        <v>906</v>
      </c>
      <c r="E24" s="181" t="s">
        <v>907</v>
      </c>
      <c r="F24" s="180" t="s">
        <v>505</v>
      </c>
      <c r="G24" s="173" t="s">
        <v>908</v>
      </c>
      <c r="H24" s="178" t="s">
        <v>909</v>
      </c>
      <c r="I24" s="175" t="s">
        <v>910</v>
      </c>
      <c r="J24" s="183" t="s">
        <v>911</v>
      </c>
      <c r="K24" s="219" t="s">
        <v>912</v>
      </c>
      <c r="L24" s="217" t="s">
        <v>913</v>
      </c>
    </row>
    <row r="25" spans="1:12" ht="293.25" customHeight="1" x14ac:dyDescent="0.45">
      <c r="A25" s="247"/>
      <c r="B25" s="247"/>
      <c r="C25" s="179" t="str">
        <f>HYPERLINK("https://drive.google.com/drive/folders/1qY42wW3G9sS4MhP7zt1v3Lao43EH6kdq", "Lesson 27")</f>
        <v>Lesson 27</v>
      </c>
      <c r="D25" s="180" t="s">
        <v>914</v>
      </c>
      <c r="E25" s="185" t="s">
        <v>915</v>
      </c>
      <c r="F25" s="180" t="s">
        <v>916</v>
      </c>
      <c r="G25" s="173" t="s">
        <v>917</v>
      </c>
      <c r="H25" s="178" t="s">
        <v>918</v>
      </c>
      <c r="I25" s="175" t="s">
        <v>919</v>
      </c>
      <c r="J25" s="183" t="s">
        <v>920</v>
      </c>
      <c r="K25" s="219" t="s">
        <v>921</v>
      </c>
      <c r="L25" s="217" t="s">
        <v>922</v>
      </c>
    </row>
    <row r="26" spans="1:12" ht="68.25" customHeight="1" x14ac:dyDescent="0.45">
      <c r="A26" s="247"/>
      <c r="B26" s="247"/>
      <c r="C26" s="251" t="s">
        <v>144</v>
      </c>
      <c r="D26" s="252"/>
      <c r="E26" s="252"/>
      <c r="F26" s="253"/>
      <c r="G26" s="173"/>
      <c r="H26" s="186"/>
      <c r="I26" s="187" t="s">
        <v>144</v>
      </c>
      <c r="J26" s="187"/>
      <c r="K26" s="219"/>
      <c r="L26" s="219"/>
    </row>
    <row r="27" spans="1:12" ht="409.6" customHeight="1" x14ac:dyDescent="0.45">
      <c r="A27" s="247"/>
      <c r="B27" s="247"/>
      <c r="C27" s="179" t="str">
        <f>HYPERLINK("https://drive.google.com/drive/folders/1qVC8Zu7TrQrStSxUgPTgPjFnZdGLAuJd", "Lesson 28 ")</f>
        <v xml:space="preserve">Lesson 28 </v>
      </c>
      <c r="D27" s="180" t="s">
        <v>923</v>
      </c>
      <c r="E27" s="177" t="s">
        <v>924</v>
      </c>
      <c r="F27" s="172" t="s">
        <v>925</v>
      </c>
      <c r="G27" s="173" t="s">
        <v>926</v>
      </c>
      <c r="H27" s="186" t="s">
        <v>927</v>
      </c>
      <c r="I27" s="175" t="s">
        <v>928</v>
      </c>
      <c r="J27" s="187" t="s">
        <v>929</v>
      </c>
      <c r="K27" s="219" t="s">
        <v>930</v>
      </c>
      <c r="L27" s="219"/>
    </row>
    <row r="28" spans="1:12" ht="408" customHeight="1" x14ac:dyDescent="0.45">
      <c r="A28" s="247"/>
      <c r="B28" s="247"/>
      <c r="C28" s="179" t="str">
        <f>HYPERLINK("https://drive.google.com/drive/folders/1qV4mRxbyv7QNTLbOM5OF-iMI4lHc7Rde", "Lesson 29")</f>
        <v>Lesson 29</v>
      </c>
      <c r="D28" s="180" t="s">
        <v>931</v>
      </c>
      <c r="E28" s="177" t="s">
        <v>932</v>
      </c>
      <c r="F28" s="172" t="s">
        <v>933</v>
      </c>
      <c r="G28" s="173" t="s">
        <v>934</v>
      </c>
      <c r="H28" s="178" t="s">
        <v>935</v>
      </c>
      <c r="I28" s="175" t="s">
        <v>936</v>
      </c>
      <c r="J28" s="183" t="s">
        <v>937</v>
      </c>
      <c r="K28" s="219" t="s">
        <v>938</v>
      </c>
      <c r="L28" s="219" t="s">
        <v>939</v>
      </c>
    </row>
    <row r="29" spans="1:12" ht="382.5" customHeight="1" x14ac:dyDescent="0.45">
      <c r="A29" s="247"/>
      <c r="B29" s="248"/>
      <c r="C29" s="179" t="str">
        <f>HYPERLINK("https://drive.google.com/drive/folders/1qwCel-TiFZG-YVX0eywJze_qEqQuIWr8", "Lesson 30 ")</f>
        <v xml:space="preserve">Lesson 30 </v>
      </c>
      <c r="D29" s="180" t="s">
        <v>940</v>
      </c>
      <c r="E29" s="177" t="s">
        <v>941</v>
      </c>
      <c r="F29" s="172" t="s">
        <v>942</v>
      </c>
      <c r="G29" s="173" t="s">
        <v>943</v>
      </c>
      <c r="H29" s="178" t="s">
        <v>944</v>
      </c>
      <c r="I29" s="175" t="s">
        <v>945</v>
      </c>
      <c r="J29" s="183" t="s">
        <v>946</v>
      </c>
      <c r="K29" s="219" t="s">
        <v>947</v>
      </c>
      <c r="L29" s="217" t="s">
        <v>948</v>
      </c>
    </row>
    <row r="30" spans="1:12" ht="293.25" customHeight="1" x14ac:dyDescent="0.45">
      <c r="A30" s="247"/>
      <c r="B30" s="254" t="s">
        <v>217</v>
      </c>
      <c r="C30" s="188" t="str">
        <f>HYPERLINK("https://drive.google.com/drive/folders/1qvLYyV7cgrwD4-chb2H6tSw5_fEOzF5G", "Lesson 31")</f>
        <v>Lesson 31</v>
      </c>
      <c r="D30" s="189" t="s">
        <v>949</v>
      </c>
      <c r="E30" s="190" t="s">
        <v>950</v>
      </c>
      <c r="F30" s="189" t="s">
        <v>951</v>
      </c>
      <c r="G30" s="173" t="s">
        <v>952</v>
      </c>
      <c r="H30" s="178" t="s">
        <v>953</v>
      </c>
      <c r="I30" s="175" t="s">
        <v>954</v>
      </c>
      <c r="J30" s="183" t="s">
        <v>955</v>
      </c>
      <c r="K30" s="219" t="s">
        <v>956</v>
      </c>
      <c r="L30" s="217" t="s">
        <v>957</v>
      </c>
    </row>
    <row r="31" spans="1:12" ht="280.5" customHeight="1" x14ac:dyDescent="0.45">
      <c r="A31" s="247"/>
      <c r="B31" s="247"/>
      <c r="C31" s="188" t="str">
        <f>HYPERLINK("https://drive.google.com/drive/folders/1qslB0aRbZKY83UMU4RghH4pHlTHwLgfb", "Lesson 32")</f>
        <v>Lesson 32</v>
      </c>
      <c r="D31" s="189" t="s">
        <v>958</v>
      </c>
      <c r="E31" s="191" t="s">
        <v>959</v>
      </c>
      <c r="F31" s="189" t="s">
        <v>960</v>
      </c>
      <c r="G31" s="173" t="s">
        <v>961</v>
      </c>
      <c r="H31" s="178" t="s">
        <v>962</v>
      </c>
      <c r="I31" s="175" t="s">
        <v>963</v>
      </c>
      <c r="J31" s="183" t="s">
        <v>964</v>
      </c>
      <c r="K31" s="219" t="s">
        <v>965</v>
      </c>
      <c r="L31" s="217" t="s">
        <v>966</v>
      </c>
    </row>
    <row r="32" spans="1:12" ht="288.75" customHeight="1" x14ac:dyDescent="0.45">
      <c r="A32" s="247"/>
      <c r="B32" s="247"/>
      <c r="C32" s="188" t="str">
        <f>HYPERLINK("https://drive.google.com/drive/folders/1qs7I8uSTY3_CNxw5fLpYg1Uvz1mlWKfq", "Lesson 33")</f>
        <v>Lesson 33</v>
      </c>
      <c r="D32" s="189" t="s">
        <v>967</v>
      </c>
      <c r="E32" s="191" t="s">
        <v>968</v>
      </c>
      <c r="F32" s="189" t="s">
        <v>969</v>
      </c>
      <c r="G32" s="173" t="s">
        <v>970</v>
      </c>
      <c r="H32" s="182" t="s">
        <v>971</v>
      </c>
      <c r="I32" s="175" t="s">
        <v>972</v>
      </c>
      <c r="J32" s="192" t="s">
        <v>973</v>
      </c>
      <c r="K32" s="219" t="s">
        <v>974</v>
      </c>
      <c r="L32" s="217" t="s">
        <v>975</v>
      </c>
    </row>
    <row r="33" spans="1:12" ht="301.89999999999998" customHeight="1" x14ac:dyDescent="0.45">
      <c r="A33" s="247"/>
      <c r="B33" s="247"/>
      <c r="C33" s="188" t="str">
        <f>HYPERLINK("https://drive.google.com/drive/folders/15mIaSs350lEaLRNg4l3p3akmkT9BHRw2", "Lesson 34 ")</f>
        <v xml:space="preserve">Lesson 34 </v>
      </c>
      <c r="D33" s="193" t="s">
        <v>976</v>
      </c>
      <c r="E33" s="190" t="s">
        <v>977</v>
      </c>
      <c r="F33" s="189" t="s">
        <v>978</v>
      </c>
      <c r="G33" s="173" t="s">
        <v>979</v>
      </c>
      <c r="H33" s="182" t="s">
        <v>980</v>
      </c>
      <c r="I33" s="175" t="s">
        <v>981</v>
      </c>
      <c r="J33" s="192" t="s">
        <v>982</v>
      </c>
      <c r="K33" s="219" t="s">
        <v>983</v>
      </c>
      <c r="L33" s="217" t="s">
        <v>948</v>
      </c>
    </row>
    <row r="34" spans="1:12" ht="341.25" customHeight="1" x14ac:dyDescent="0.45">
      <c r="A34" s="247"/>
      <c r="B34" s="247"/>
      <c r="C34" s="188" t="str">
        <f>HYPERLINK("https://drive.google.com/drive/folders/1At2gtuCDROadOJb5XDphDSJOoNwuJs2w", "Lesson 35 ")</f>
        <v xml:space="preserve">Lesson 35 </v>
      </c>
      <c r="D34" s="189" t="s">
        <v>984</v>
      </c>
      <c r="E34" s="190" t="s">
        <v>985</v>
      </c>
      <c r="F34" s="189" t="s">
        <v>986</v>
      </c>
      <c r="G34" s="173" t="s">
        <v>987</v>
      </c>
      <c r="H34" s="182" t="s">
        <v>988</v>
      </c>
      <c r="I34" s="175" t="s">
        <v>989</v>
      </c>
      <c r="J34" s="192" t="s">
        <v>990</v>
      </c>
      <c r="K34" s="219" t="s">
        <v>991</v>
      </c>
      <c r="L34" s="217" t="s">
        <v>992</v>
      </c>
    </row>
    <row r="35" spans="1:12" ht="288.75" customHeight="1" x14ac:dyDescent="0.45">
      <c r="A35" s="247"/>
      <c r="B35" s="247"/>
      <c r="C35" s="188" t="str">
        <f>HYPERLINK("https://drive.google.com/drive/folders/1wf-KRDo-4xXspMfAFn6EMH-CP7-3EQyb", "Lesson 37 ")</f>
        <v xml:space="preserve">Lesson 37 </v>
      </c>
      <c r="D35" s="189" t="s">
        <v>993</v>
      </c>
      <c r="E35" s="194" t="s">
        <v>994</v>
      </c>
      <c r="F35" s="193" t="s">
        <v>995</v>
      </c>
      <c r="G35" s="173" t="s">
        <v>996</v>
      </c>
      <c r="H35" s="182" t="s">
        <v>997</v>
      </c>
      <c r="I35" s="175" t="s">
        <v>998</v>
      </c>
      <c r="J35" s="192" t="s">
        <v>999</v>
      </c>
      <c r="K35" s="219" t="s">
        <v>1000</v>
      </c>
      <c r="L35" s="217" t="s">
        <v>1001</v>
      </c>
    </row>
    <row r="36" spans="1:12" ht="63.75" customHeight="1" x14ac:dyDescent="0.45">
      <c r="A36" s="247"/>
      <c r="B36" s="247"/>
      <c r="C36" s="251" t="s">
        <v>327</v>
      </c>
      <c r="D36" s="252"/>
      <c r="E36" s="252"/>
      <c r="F36" s="253"/>
      <c r="G36" s="173"/>
      <c r="H36" s="178"/>
      <c r="I36" s="183" t="s">
        <v>327</v>
      </c>
      <c r="J36" s="183"/>
      <c r="K36" s="219"/>
      <c r="L36" s="219"/>
    </row>
    <row r="37" spans="1:12" ht="331.5" customHeight="1" x14ac:dyDescent="0.45">
      <c r="A37" s="247"/>
      <c r="B37" s="247"/>
      <c r="C37" s="188" t="str">
        <f>HYPERLINK("https://drive.google.com/drive/folders/1qmPwmCj8eWZaHX4n39I4e6pyEZybntIf", "Lesson 38")</f>
        <v>Lesson 38</v>
      </c>
      <c r="D37" s="189" t="s">
        <v>1002</v>
      </c>
      <c r="E37" s="194" t="s">
        <v>1003</v>
      </c>
      <c r="F37" s="193" t="s">
        <v>1004</v>
      </c>
      <c r="G37" s="173" t="s">
        <v>1005</v>
      </c>
      <c r="H37" s="178" t="s">
        <v>1006</v>
      </c>
      <c r="I37" s="175" t="s">
        <v>1007</v>
      </c>
      <c r="J37" s="223" t="s">
        <v>1008</v>
      </c>
      <c r="K37" s="219" t="s">
        <v>1009</v>
      </c>
      <c r="L37" s="217"/>
    </row>
    <row r="38" spans="1:12" ht="409.5" customHeight="1" x14ac:dyDescent="0.45">
      <c r="A38" s="247"/>
      <c r="B38" s="247"/>
      <c r="C38" s="188" t="str">
        <f>HYPERLINK("https://drive.google.com/drive/folders/1qmHuAwBp-vRfh7_MStu8J3h1aocuLdfh", "Lesson 39")</f>
        <v>Lesson 39</v>
      </c>
      <c r="D38" s="189" t="s">
        <v>1010</v>
      </c>
      <c r="E38" s="194" t="s">
        <v>1011</v>
      </c>
      <c r="F38" s="193" t="s">
        <v>1012</v>
      </c>
      <c r="G38" s="173" t="s">
        <v>1005</v>
      </c>
      <c r="H38" s="178" t="s">
        <v>1013</v>
      </c>
      <c r="I38" s="175" t="s">
        <v>1014</v>
      </c>
      <c r="J38" s="223" t="s">
        <v>1015</v>
      </c>
      <c r="K38" s="219" t="s">
        <v>1016</v>
      </c>
      <c r="L38" s="219" t="s">
        <v>1017</v>
      </c>
    </row>
    <row r="39" spans="1:12" ht="409.5" customHeight="1" x14ac:dyDescent="0.45">
      <c r="A39" s="247"/>
      <c r="B39" s="247"/>
      <c r="C39" s="188" t="str">
        <f>HYPERLINK("https://drive.google.com/drive/folders/1qjPL0YI3nTZyqKotNB3bXyQewB86OSXQ", "Lesson 40 ")</f>
        <v xml:space="preserve">Lesson 40 </v>
      </c>
      <c r="D39" s="189" t="s">
        <v>1018</v>
      </c>
      <c r="E39" s="194" t="s">
        <v>1019</v>
      </c>
      <c r="F39" s="193" t="s">
        <v>1020</v>
      </c>
      <c r="G39" s="173" t="s">
        <v>1021</v>
      </c>
      <c r="H39" s="178" t="s">
        <v>1022</v>
      </c>
      <c r="I39" s="175" t="s">
        <v>1023</v>
      </c>
      <c r="J39" s="224" t="s">
        <v>1024</v>
      </c>
      <c r="K39" s="219" t="s">
        <v>1025</v>
      </c>
      <c r="L39" s="217" t="s">
        <v>1026</v>
      </c>
    </row>
    <row r="40" spans="1:12" ht="267.75" customHeight="1" x14ac:dyDescent="0.45">
      <c r="A40" s="247"/>
      <c r="B40" s="247"/>
      <c r="C40" s="188" t="str">
        <f>HYPERLINK("https://drive.google.com/drive/folders/1qihXaN8vBoQFcBuiv2xMuLuNQbmsyiTc", "Lesson 41 ")</f>
        <v xml:space="preserve">Lesson 41 </v>
      </c>
      <c r="D40" s="189" t="s">
        <v>1027</v>
      </c>
      <c r="E40" s="190" t="s">
        <v>1028</v>
      </c>
      <c r="F40" s="189" t="s">
        <v>1029</v>
      </c>
      <c r="G40" s="173" t="s">
        <v>802</v>
      </c>
      <c r="H40" s="178"/>
      <c r="I40" s="175" t="s">
        <v>1030</v>
      </c>
      <c r="J40" s="223" t="s">
        <v>1031</v>
      </c>
      <c r="K40" s="219" t="s">
        <v>1032</v>
      </c>
      <c r="L40" s="217" t="s">
        <v>1033</v>
      </c>
    </row>
    <row r="41" spans="1:12" ht="262.5" customHeight="1" x14ac:dyDescent="0.45">
      <c r="A41" s="247"/>
      <c r="B41" s="247"/>
      <c r="C41" s="188" t="str">
        <f>HYPERLINK("https://drive.google.com/drive/folders/1qhNqhyORFfDxL5yoiQX0Eao00IuKEuvA", "Lesson 42 ")</f>
        <v xml:space="preserve">Lesson 42 </v>
      </c>
      <c r="D41" s="189" t="s">
        <v>1034</v>
      </c>
      <c r="E41" s="190" t="s">
        <v>1035</v>
      </c>
      <c r="F41" s="189" t="s">
        <v>1036</v>
      </c>
      <c r="G41" s="173" t="s">
        <v>802</v>
      </c>
      <c r="H41" s="182"/>
      <c r="I41" s="175" t="s">
        <v>1037</v>
      </c>
      <c r="J41" s="223" t="s">
        <v>1038</v>
      </c>
      <c r="K41" s="219" t="s">
        <v>1039</v>
      </c>
      <c r="L41" s="217" t="s">
        <v>1040</v>
      </c>
    </row>
    <row r="42" spans="1:12" ht="275.64999999999998" customHeight="1" x14ac:dyDescent="0.45">
      <c r="A42" s="247"/>
      <c r="B42" s="247"/>
      <c r="C42" s="188" t="str">
        <f>HYPERLINK("https://drive.google.com/drive/folders/1qgwqHh91OgTg84-GWLjRNu09rpo2EQPN", "Lesson 43 ")</f>
        <v xml:space="preserve">Lesson 43 </v>
      </c>
      <c r="D42" s="189" t="s">
        <v>1041</v>
      </c>
      <c r="E42" s="190" t="s">
        <v>1042</v>
      </c>
      <c r="F42" s="189" t="s">
        <v>1043</v>
      </c>
      <c r="G42" s="173" t="s">
        <v>1044</v>
      </c>
      <c r="H42" s="182" t="s">
        <v>1045</v>
      </c>
      <c r="I42" s="175" t="s">
        <v>1046</v>
      </c>
      <c r="J42" s="225" t="s">
        <v>1047</v>
      </c>
      <c r="K42" s="219" t="s">
        <v>1048</v>
      </c>
      <c r="L42" s="217" t="s">
        <v>1049</v>
      </c>
    </row>
    <row r="43" spans="1:12" ht="288.75" customHeight="1" x14ac:dyDescent="0.45">
      <c r="A43" s="247"/>
      <c r="B43" s="247"/>
      <c r="C43" s="188" t="str">
        <f>HYPERLINK("https://drive.google.com/drive/folders/1r6brRAqZ6TYSR5G-0P-gzvZNVZbn_bCh", "Lesson 44  ")</f>
        <v xml:space="preserve">Lesson 44  </v>
      </c>
      <c r="D43" s="189" t="s">
        <v>1050</v>
      </c>
      <c r="E43" s="190" t="s">
        <v>1051</v>
      </c>
      <c r="F43" s="189" t="s">
        <v>1052</v>
      </c>
      <c r="G43" s="173" t="s">
        <v>1053</v>
      </c>
      <c r="H43" s="182" t="s">
        <v>1054</v>
      </c>
      <c r="I43" s="175" t="s">
        <v>1055</v>
      </c>
      <c r="J43" s="195" t="s">
        <v>1056</v>
      </c>
      <c r="K43" s="219" t="s">
        <v>1057</v>
      </c>
      <c r="L43" s="219"/>
    </row>
    <row r="44" spans="1:12" ht="223.15" customHeight="1" x14ac:dyDescent="0.45">
      <c r="A44" s="247"/>
      <c r="B44" s="247"/>
      <c r="C44" s="188" t="str">
        <f>HYPERLINK("https://drive.google.com/drive/folders/1r6ZSkKTDwszeFu_4ntTY8D1VMKYgzSI6", "Lesson 45  ")</f>
        <v xml:space="preserve">Lesson 45  </v>
      </c>
      <c r="D44" s="189" t="s">
        <v>1058</v>
      </c>
      <c r="E44" s="190" t="s">
        <v>1059</v>
      </c>
      <c r="F44" s="189" t="s">
        <v>1060</v>
      </c>
      <c r="G44" s="173" t="s">
        <v>802</v>
      </c>
      <c r="H44" s="182"/>
      <c r="I44" s="175" t="s">
        <v>1061</v>
      </c>
      <c r="J44" s="195" t="s">
        <v>1062</v>
      </c>
      <c r="K44" s="219" t="s">
        <v>1063</v>
      </c>
      <c r="L44" s="217" t="s">
        <v>1064</v>
      </c>
    </row>
    <row r="45" spans="1:12" ht="328.15" customHeight="1" x14ac:dyDescent="0.45">
      <c r="A45" s="247"/>
      <c r="B45" s="248"/>
      <c r="C45" s="188" t="str">
        <f>HYPERLINK("https://drive.google.com/drive/folders/1r6J97oVucFPd-ZyEazGG9_-hnxmqiwhI", "Lesson 46 ")</f>
        <v xml:space="preserve">Lesson 46 </v>
      </c>
      <c r="D45" s="189" t="s">
        <v>1065</v>
      </c>
      <c r="E45" s="190" t="s">
        <v>1066</v>
      </c>
      <c r="F45" s="189" t="s">
        <v>1067</v>
      </c>
      <c r="G45" s="173" t="s">
        <v>1068</v>
      </c>
      <c r="H45" s="182" t="s">
        <v>1069</v>
      </c>
      <c r="I45" s="175" t="s">
        <v>1070</v>
      </c>
      <c r="J45" s="195" t="s">
        <v>1071</v>
      </c>
      <c r="K45" s="219" t="s">
        <v>1072</v>
      </c>
      <c r="L45" s="219"/>
    </row>
    <row r="46" spans="1:12" ht="408" customHeight="1" x14ac:dyDescent="0.45">
      <c r="A46" s="247"/>
      <c r="B46" s="250" t="s">
        <v>329</v>
      </c>
      <c r="C46" s="196" t="str">
        <f>HYPERLINK("https://drive.google.com/drive/folders/1qzuv7iPExc0xwMRbDYcoVLdVUGrUX34p", "Lesson 49 ")</f>
        <v xml:space="preserve">Lesson 49 </v>
      </c>
      <c r="D46" s="197" t="s">
        <v>1073</v>
      </c>
      <c r="E46" s="198" t="s">
        <v>1074</v>
      </c>
      <c r="F46" s="197" t="s">
        <v>1075</v>
      </c>
      <c r="G46" s="173" t="s">
        <v>1076</v>
      </c>
      <c r="H46" s="178" t="s">
        <v>1077</v>
      </c>
      <c r="I46" s="175" t="s">
        <v>1078</v>
      </c>
      <c r="J46" s="199" t="s">
        <v>1079</v>
      </c>
      <c r="K46" s="219" t="s">
        <v>1080</v>
      </c>
      <c r="L46" s="217" t="s">
        <v>1081</v>
      </c>
    </row>
    <row r="47" spans="1:12" ht="382.5" customHeight="1" x14ac:dyDescent="0.45">
      <c r="A47" s="247"/>
      <c r="B47" s="247"/>
      <c r="C47" s="200" t="s">
        <v>1082</v>
      </c>
      <c r="D47" s="197" t="s">
        <v>1083</v>
      </c>
      <c r="E47" s="198" t="s">
        <v>1084</v>
      </c>
      <c r="F47" s="197" t="s">
        <v>1085</v>
      </c>
      <c r="G47" s="173" t="s">
        <v>1086</v>
      </c>
      <c r="H47" s="178" t="s">
        <v>1087</v>
      </c>
      <c r="I47" s="183" t="s">
        <v>1088</v>
      </c>
      <c r="J47" s="199" t="s">
        <v>1089</v>
      </c>
      <c r="K47" s="219" t="s">
        <v>1090</v>
      </c>
      <c r="L47" s="217" t="s">
        <v>1091</v>
      </c>
    </row>
    <row r="48" spans="1:12" ht="344.25" customHeight="1" x14ac:dyDescent="0.45">
      <c r="A48" s="247"/>
      <c r="B48" s="247"/>
      <c r="C48" s="196" t="str">
        <f>HYPERLINK("https://drive.google.com/drive/folders/1qy1tjKwBR6zhS3spOKJ14RP8h677Y3jX", "Lesson 51 ")</f>
        <v xml:space="preserve">Lesson 51 </v>
      </c>
      <c r="D48" s="197" t="s">
        <v>1092</v>
      </c>
      <c r="E48" s="198" t="s">
        <v>1093</v>
      </c>
      <c r="F48" s="201" t="s">
        <v>1094</v>
      </c>
      <c r="G48" s="173" t="s">
        <v>1095</v>
      </c>
      <c r="H48" s="178" t="s">
        <v>1096</v>
      </c>
      <c r="I48" s="175" t="s">
        <v>1097</v>
      </c>
      <c r="J48" s="199" t="s">
        <v>1098</v>
      </c>
      <c r="K48" s="219" t="s">
        <v>1099</v>
      </c>
      <c r="L48" s="217" t="s">
        <v>1100</v>
      </c>
    </row>
    <row r="49" spans="1:12" ht="255" customHeight="1" x14ac:dyDescent="0.45">
      <c r="A49" s="247"/>
      <c r="B49" s="247"/>
      <c r="C49" s="196" t="str">
        <f>HYPERLINK("https://drive.google.com/drive/folders/1qwdFk9AwGCLiSdjqye0DbR4vpnLyUgfK", "Lesson 52 ")</f>
        <v xml:space="preserve">Lesson 52 </v>
      </c>
      <c r="D49" s="197" t="s">
        <v>1101</v>
      </c>
      <c r="E49" s="198" t="s">
        <v>1102</v>
      </c>
      <c r="F49" s="197" t="s">
        <v>1103</v>
      </c>
      <c r="G49" s="173" t="s">
        <v>1104</v>
      </c>
      <c r="H49" s="178"/>
      <c r="I49" s="175" t="s">
        <v>1105</v>
      </c>
      <c r="J49" s="199" t="s">
        <v>1106</v>
      </c>
      <c r="K49" s="219" t="s">
        <v>1107</v>
      </c>
      <c r="L49" s="217" t="s">
        <v>1108</v>
      </c>
    </row>
    <row r="50" spans="1:12" ht="382.5" customHeight="1" x14ac:dyDescent="0.45">
      <c r="A50" s="247"/>
      <c r="B50" s="247"/>
      <c r="C50" s="196" t="str">
        <f>HYPERLINK("https://drive.google.com/drive/folders/1qwPOPQtcp-lPU5W2xdvAK-gxHx1I_0-s", "Lesson 53")</f>
        <v>Lesson 53</v>
      </c>
      <c r="D50" s="197" t="s">
        <v>1109</v>
      </c>
      <c r="E50" s="198" t="s">
        <v>1110</v>
      </c>
      <c r="F50" s="197" t="s">
        <v>1111</v>
      </c>
      <c r="G50" s="173" t="s">
        <v>1112</v>
      </c>
      <c r="H50" s="178" t="s">
        <v>1113</v>
      </c>
      <c r="I50" s="175" t="s">
        <v>1114</v>
      </c>
      <c r="J50" s="199" t="s">
        <v>1115</v>
      </c>
      <c r="K50" s="219" t="s">
        <v>1116</v>
      </c>
      <c r="L50" s="217" t="s">
        <v>1117</v>
      </c>
    </row>
    <row r="51" spans="1:12" ht="293.25" customHeight="1" x14ac:dyDescent="0.45">
      <c r="A51" s="247"/>
      <c r="B51" s="247"/>
      <c r="C51" s="200" t="s">
        <v>1118</v>
      </c>
      <c r="D51" s="202" t="s">
        <v>1119</v>
      </c>
      <c r="E51" s="198" t="s">
        <v>1120</v>
      </c>
      <c r="F51" s="197" t="s">
        <v>1121</v>
      </c>
      <c r="G51" s="173" t="s">
        <v>1104</v>
      </c>
      <c r="H51" s="178" t="s">
        <v>1122</v>
      </c>
      <c r="I51" s="183" t="s">
        <v>1123</v>
      </c>
      <c r="J51" s="199" t="s">
        <v>1124</v>
      </c>
      <c r="K51" s="219" t="s">
        <v>1125</v>
      </c>
      <c r="L51" s="219"/>
    </row>
    <row r="52" spans="1:12" ht="267.75" customHeight="1" x14ac:dyDescent="0.45">
      <c r="A52" s="247"/>
      <c r="B52" s="247"/>
      <c r="C52" s="196" t="str">
        <f>HYPERLINK("https://drive.google.com/drive/folders/1rA75zk8u4uetiCRXRqQJ1QT-80xaIhMz", "Lesson 55 ")</f>
        <v xml:space="preserve">Lesson 55 </v>
      </c>
      <c r="D52" s="197" t="s">
        <v>1126</v>
      </c>
      <c r="E52" s="198" t="s">
        <v>1127</v>
      </c>
      <c r="F52" s="197" t="s">
        <v>1128</v>
      </c>
      <c r="G52" s="173" t="s">
        <v>1129</v>
      </c>
      <c r="H52" s="178" t="s">
        <v>1130</v>
      </c>
      <c r="I52" s="175" t="s">
        <v>1131</v>
      </c>
      <c r="J52" s="199" t="s">
        <v>1132</v>
      </c>
      <c r="K52" s="219" t="s">
        <v>1133</v>
      </c>
      <c r="L52" s="219"/>
    </row>
    <row r="53" spans="1:12" ht="229.5" customHeight="1" x14ac:dyDescent="0.45">
      <c r="A53" s="247"/>
      <c r="B53" s="247"/>
      <c r="C53" s="196" t="str">
        <f>HYPERLINK("https://drive.google.com/drive/folders/1rBNs60kfz9m2xQFmEU-zc2gwuwj0UO6C", "Lesson 56 ")</f>
        <v xml:space="preserve">Lesson 56 </v>
      </c>
      <c r="D53" s="197" t="s">
        <v>1134</v>
      </c>
      <c r="E53" s="198" t="s">
        <v>1135</v>
      </c>
      <c r="F53" s="197" t="s">
        <v>1136</v>
      </c>
      <c r="G53" s="173" t="s">
        <v>1137</v>
      </c>
      <c r="H53" s="178" t="s">
        <v>1138</v>
      </c>
      <c r="I53" s="175" t="s">
        <v>1139</v>
      </c>
      <c r="J53" s="199" t="s">
        <v>1140</v>
      </c>
      <c r="K53" s="219" t="s">
        <v>1141</v>
      </c>
      <c r="L53" s="217" t="s">
        <v>1142</v>
      </c>
    </row>
    <row r="54" spans="1:12" ht="395.25" customHeight="1" x14ac:dyDescent="0.45">
      <c r="A54" s="247"/>
      <c r="B54" s="247"/>
      <c r="C54" s="196" t="str">
        <f>HYPERLINK("https://drive.google.com/drive/folders/1rB7LzKqRfjmvxbYYREILQyw0yyEMP1SG", "Lesson 57")</f>
        <v>Lesson 57</v>
      </c>
      <c r="D54" s="197" t="s">
        <v>1143</v>
      </c>
      <c r="E54" s="198" t="s">
        <v>1144</v>
      </c>
      <c r="F54" s="197" t="s">
        <v>1145</v>
      </c>
      <c r="G54" s="173" t="s">
        <v>1146</v>
      </c>
      <c r="H54" s="178" t="s">
        <v>1147</v>
      </c>
      <c r="I54" s="175" t="s">
        <v>1148</v>
      </c>
      <c r="J54" s="199" t="s">
        <v>1149</v>
      </c>
      <c r="K54" s="219" t="s">
        <v>1150</v>
      </c>
      <c r="L54" s="219" t="s">
        <v>1151</v>
      </c>
    </row>
    <row r="55" spans="1:12" ht="242.25" customHeight="1" x14ac:dyDescent="0.45">
      <c r="A55" s="247"/>
      <c r="B55" s="247"/>
      <c r="C55" s="196" t="str">
        <f>HYPERLINK("https://drive.google.com/drive/folders/1rRmwjUVMkH23FHelA18WslTmCDJsEaau", "Lesson 59 ")</f>
        <v xml:space="preserve">Lesson 59 </v>
      </c>
      <c r="D55" s="197" t="s">
        <v>1152</v>
      </c>
      <c r="E55" s="203" t="s">
        <v>1153</v>
      </c>
      <c r="F55" s="202" t="s">
        <v>1154</v>
      </c>
      <c r="G55" s="173" t="s">
        <v>1104</v>
      </c>
      <c r="H55" s="178"/>
      <c r="I55" s="175" t="s">
        <v>1155</v>
      </c>
      <c r="J55" s="199" t="s">
        <v>1156</v>
      </c>
      <c r="K55" s="219" t="s">
        <v>1157</v>
      </c>
      <c r="L55" s="217" t="s">
        <v>1158</v>
      </c>
    </row>
    <row r="56" spans="1:12" ht="255" customHeight="1" x14ac:dyDescent="0.45">
      <c r="A56" s="247"/>
      <c r="B56" s="247"/>
      <c r="C56" s="196" t="str">
        <f>HYPERLINK("https://drive.google.com/drive/folders/1rPoelk88uvTNT1jxJHHMM8wpKUlXjs1j", "Lesson 60 ")</f>
        <v xml:space="preserve">Lesson 60 </v>
      </c>
      <c r="D56" s="197" t="s">
        <v>1159</v>
      </c>
      <c r="E56" s="203" t="s">
        <v>1160</v>
      </c>
      <c r="F56" s="202" t="s">
        <v>1161</v>
      </c>
      <c r="G56" s="173" t="s">
        <v>1162</v>
      </c>
      <c r="H56" s="178" t="s">
        <v>1163</v>
      </c>
      <c r="I56" s="175" t="s">
        <v>1164</v>
      </c>
      <c r="J56" s="199" t="s">
        <v>1165</v>
      </c>
      <c r="K56" s="219" t="s">
        <v>1166</v>
      </c>
      <c r="L56" s="219"/>
    </row>
    <row r="57" spans="1:12" ht="408" customHeight="1" x14ac:dyDescent="0.45">
      <c r="A57" s="247"/>
      <c r="B57" s="247"/>
      <c r="C57" s="196" t="str">
        <f>HYPERLINK("https://drive.google.com/drive/folders/1rP66UBQlYJNPA7gkaeX6cQRAgPC1m4YL", "Lesson 61 ")</f>
        <v xml:space="preserve">Lesson 61 </v>
      </c>
      <c r="D57" s="197" t="s">
        <v>1167</v>
      </c>
      <c r="E57" s="198" t="s">
        <v>1168</v>
      </c>
      <c r="F57" s="197" t="s">
        <v>1169</v>
      </c>
      <c r="G57" s="173" t="s">
        <v>1170</v>
      </c>
      <c r="H57" s="178" t="s">
        <v>1171</v>
      </c>
      <c r="I57" s="175" t="s">
        <v>1172</v>
      </c>
      <c r="J57" s="199" t="s">
        <v>1173</v>
      </c>
      <c r="K57" s="219" t="s">
        <v>1174</v>
      </c>
      <c r="L57" s="217" t="s">
        <v>1175</v>
      </c>
    </row>
    <row r="58" spans="1:12" ht="65.650000000000006" customHeight="1" x14ac:dyDescent="0.45">
      <c r="A58" s="247"/>
      <c r="B58" s="247"/>
      <c r="C58" s="251" t="s">
        <v>422</v>
      </c>
      <c r="D58" s="252"/>
      <c r="E58" s="252"/>
      <c r="F58" s="253"/>
      <c r="G58" s="173"/>
      <c r="H58" s="182"/>
      <c r="I58" s="192" t="s">
        <v>422</v>
      </c>
      <c r="J58" s="195"/>
      <c r="K58" s="219"/>
      <c r="L58" s="219"/>
    </row>
    <row r="59" spans="1:12" ht="223.15" customHeight="1" x14ac:dyDescent="0.45">
      <c r="A59" s="247"/>
      <c r="B59" s="247"/>
      <c r="C59" s="196" t="str">
        <f>HYPERLINK("https://drive.google.com/drive/folders/1rOSFSWlKqbVmEYxGYBSq7l0e6ERihnhZ", "Lesson 62")</f>
        <v>Lesson 62</v>
      </c>
      <c r="D59" s="197" t="s">
        <v>1176</v>
      </c>
      <c r="E59" s="198" t="s">
        <v>1177</v>
      </c>
      <c r="F59" s="197" t="s">
        <v>1178</v>
      </c>
      <c r="G59" s="173" t="s">
        <v>1104</v>
      </c>
      <c r="H59" s="182"/>
      <c r="I59" s="175" t="s">
        <v>1179</v>
      </c>
      <c r="J59" s="195" t="s">
        <v>1180</v>
      </c>
      <c r="K59" s="219" t="s">
        <v>1181</v>
      </c>
      <c r="L59" s="217"/>
    </row>
    <row r="60" spans="1:12" ht="229.5" customHeight="1" x14ac:dyDescent="0.45">
      <c r="A60" s="247"/>
      <c r="B60" s="247"/>
      <c r="C60" s="200" t="s">
        <v>1182</v>
      </c>
      <c r="D60" s="197" t="s">
        <v>1183</v>
      </c>
      <c r="E60" s="198" t="s">
        <v>1184</v>
      </c>
      <c r="F60" s="201" t="s">
        <v>1178</v>
      </c>
      <c r="G60" s="173" t="s">
        <v>1104</v>
      </c>
      <c r="H60" s="178" t="s">
        <v>1185</v>
      </c>
      <c r="I60" s="183" t="s">
        <v>1186</v>
      </c>
      <c r="J60" s="199" t="s">
        <v>1187</v>
      </c>
      <c r="K60" s="219" t="s">
        <v>1188</v>
      </c>
      <c r="L60" s="219"/>
    </row>
    <row r="61" spans="1:12" ht="357" customHeight="1" x14ac:dyDescent="0.45">
      <c r="A61" s="247"/>
      <c r="B61" s="247"/>
      <c r="C61" s="196" t="str">
        <f>HYPERLINK("https://drive.google.com/drive/folders/1rJQd_aRdTN4PePbjzceW-ZO5BhRoCbOA", "Lesson 64 ")</f>
        <v xml:space="preserve">Lesson 64 </v>
      </c>
      <c r="D61" s="197" t="s">
        <v>1189</v>
      </c>
      <c r="E61" s="198" t="s">
        <v>1190</v>
      </c>
      <c r="F61" s="197" t="s">
        <v>1191</v>
      </c>
      <c r="G61" s="173" t="s">
        <v>1192</v>
      </c>
      <c r="H61" s="178" t="s">
        <v>1193</v>
      </c>
      <c r="I61" s="175" t="s">
        <v>1194</v>
      </c>
      <c r="J61" s="199" t="s">
        <v>1195</v>
      </c>
      <c r="K61" s="219" t="s">
        <v>1196</v>
      </c>
      <c r="L61" s="217" t="s">
        <v>1197</v>
      </c>
    </row>
    <row r="62" spans="1:12" ht="408" customHeight="1" x14ac:dyDescent="0.45">
      <c r="A62" s="248"/>
      <c r="B62" s="248"/>
      <c r="C62" s="196" t="str">
        <f>HYPERLINK("https://drive.google.com/drive/folders/1rIJ8QhBWaV3NBaUUDWaDA14JEmKCSKrE", "Lesson 65 ")</f>
        <v xml:space="preserve">Lesson 65 </v>
      </c>
      <c r="D62" s="197" t="s">
        <v>1198</v>
      </c>
      <c r="E62" s="198" t="s">
        <v>1199</v>
      </c>
      <c r="F62" s="197" t="s">
        <v>1200</v>
      </c>
      <c r="G62" s="173" t="s">
        <v>1201</v>
      </c>
      <c r="H62" s="178" t="s">
        <v>1202</v>
      </c>
      <c r="I62" s="175" t="s">
        <v>1203</v>
      </c>
      <c r="J62" s="199" t="s">
        <v>1204</v>
      </c>
      <c r="K62" s="219" t="s">
        <v>1205</v>
      </c>
      <c r="L62" s="217" t="s">
        <v>948</v>
      </c>
    </row>
    <row r="63" spans="1:12" ht="56.25" customHeight="1" x14ac:dyDescent="0.45">
      <c r="A63" s="222"/>
      <c r="B63" s="221"/>
      <c r="C63" s="204" t="str">
        <f>HYPERLINK("https://drive.google.com/drive/folders/1rG6oAylxpf6OB7wCJgUn2wZdK68DyC7C", "Lesson 67 ")</f>
        <v xml:space="preserve">Lesson 67 </v>
      </c>
      <c r="D63" s="205" t="s">
        <v>1206</v>
      </c>
      <c r="E63" s="206" t="s">
        <v>1207</v>
      </c>
      <c r="F63" s="205" t="s">
        <v>1208</v>
      </c>
      <c r="G63" s="173" t="s">
        <v>1209</v>
      </c>
      <c r="H63" s="178"/>
      <c r="I63" s="175" t="s">
        <v>1210</v>
      </c>
      <c r="J63" s="199" t="s">
        <v>1211</v>
      </c>
      <c r="K63" s="219" t="s">
        <v>1212</v>
      </c>
      <c r="L63" s="217" t="s">
        <v>1213</v>
      </c>
    </row>
    <row r="64" spans="1:12" ht="43.5" customHeight="1" x14ac:dyDescent="0.45">
      <c r="A64" s="249" t="s">
        <v>453</v>
      </c>
      <c r="B64" s="246" t="s">
        <v>12</v>
      </c>
      <c r="C64" s="207" t="s">
        <v>1214</v>
      </c>
      <c r="D64" s="208" t="s">
        <v>1215</v>
      </c>
      <c r="E64" s="209" t="s">
        <v>1216</v>
      </c>
      <c r="F64" s="210" t="s">
        <v>1217</v>
      </c>
      <c r="G64" s="173" t="s">
        <v>1218</v>
      </c>
      <c r="H64" s="178" t="s">
        <v>1219</v>
      </c>
      <c r="I64" s="183" t="s">
        <v>1220</v>
      </c>
      <c r="J64" s="199" t="s">
        <v>1221</v>
      </c>
      <c r="K64" s="219" t="s">
        <v>1222</v>
      </c>
      <c r="L64" s="219"/>
    </row>
    <row r="65" spans="1:12" ht="127.5" customHeight="1" x14ac:dyDescent="0.45">
      <c r="A65" s="247"/>
      <c r="B65" s="247"/>
      <c r="C65" s="211" t="str">
        <f>HYPERLINK("https://drive.google.com/drive/folders/1rFIGojFglEIzw6ddODZ3RZtUu00eVpSv", "Lesson 69 ")</f>
        <v xml:space="preserve">Lesson 69 </v>
      </c>
      <c r="D65" s="208" t="s">
        <v>1223</v>
      </c>
      <c r="E65" s="209" t="s">
        <v>1224</v>
      </c>
      <c r="F65" s="212" t="s">
        <v>1225</v>
      </c>
      <c r="G65" s="173" t="s">
        <v>1218</v>
      </c>
      <c r="H65" s="178"/>
      <c r="I65" s="175" t="s">
        <v>1226</v>
      </c>
      <c r="J65" s="199" t="s">
        <v>1227</v>
      </c>
      <c r="K65" s="219" t="s">
        <v>1228</v>
      </c>
      <c r="L65" s="219"/>
    </row>
    <row r="66" spans="1:12" ht="127.5" customHeight="1" x14ac:dyDescent="0.45">
      <c r="A66" s="247"/>
      <c r="B66" s="247"/>
      <c r="C66" s="211" t="str">
        <f>HYPERLINK("https://drive.google.com/drive/folders/1rEoQqaXb0KbtN_7DOq2to-MtqC8Gip2P", "Lesson 70")</f>
        <v>Lesson 70</v>
      </c>
      <c r="D66" s="208" t="s">
        <v>1229</v>
      </c>
      <c r="E66" s="213" t="s">
        <v>1230</v>
      </c>
      <c r="F66" s="208" t="s">
        <v>1231</v>
      </c>
      <c r="G66" s="173" t="s">
        <v>1218</v>
      </c>
      <c r="H66" s="178"/>
      <c r="I66" s="175" t="s">
        <v>1232</v>
      </c>
      <c r="J66" s="199" t="s">
        <v>1233</v>
      </c>
      <c r="K66" s="219" t="s">
        <v>1234</v>
      </c>
      <c r="L66" s="219"/>
    </row>
    <row r="67" spans="1:12" ht="114.75" customHeight="1" x14ac:dyDescent="0.45">
      <c r="A67" s="247"/>
      <c r="B67" s="247"/>
      <c r="C67" s="211" t="str">
        <f>HYPERLINK("https://drive.google.com/drive/folders/1rCfThSwJ5LrhiGinJPCN6gHO6DPURlyt", "Lesson 71")</f>
        <v>Lesson 71</v>
      </c>
      <c r="D67" s="208" t="s">
        <v>1235</v>
      </c>
      <c r="E67" s="209" t="s">
        <v>1236</v>
      </c>
      <c r="F67" s="212" t="s">
        <v>1237</v>
      </c>
      <c r="G67" s="173" t="s">
        <v>1218</v>
      </c>
      <c r="H67" s="178"/>
      <c r="I67" s="175" t="s">
        <v>1238</v>
      </c>
      <c r="J67" s="199" t="s">
        <v>1239</v>
      </c>
      <c r="K67" s="219" t="s">
        <v>1240</v>
      </c>
      <c r="L67" s="219"/>
    </row>
    <row r="68" spans="1:12" ht="409.5" customHeight="1" x14ac:dyDescent="0.45">
      <c r="A68" s="247"/>
      <c r="B68" s="247"/>
      <c r="C68" s="211" t="str">
        <f>HYPERLINK("https://drive.google.com/drive/folders/1rSkt8uBzY92_XX4uQhaC4UL4ppiXjzne", "Lesson 72")</f>
        <v>Lesson 72</v>
      </c>
      <c r="D68" s="208" t="s">
        <v>1241</v>
      </c>
      <c r="E68" s="213" t="s">
        <v>1242</v>
      </c>
      <c r="F68" s="208" t="s">
        <v>1243</v>
      </c>
      <c r="G68" s="173" t="s">
        <v>1244</v>
      </c>
      <c r="H68" s="174" t="s">
        <v>1245</v>
      </c>
      <c r="I68" s="175" t="s">
        <v>1246</v>
      </c>
      <c r="J68" s="214" t="s">
        <v>1247</v>
      </c>
      <c r="K68" s="219" t="s">
        <v>1248</v>
      </c>
      <c r="L68" s="217" t="s">
        <v>1249</v>
      </c>
    </row>
    <row r="69" spans="1:12" ht="229.5" customHeight="1" x14ac:dyDescent="0.45">
      <c r="A69" s="247"/>
      <c r="B69" s="247"/>
      <c r="C69" s="211" t="str">
        <f>HYPERLINK("https://drive.google.com/drive/folders/1rXDyktAktJRhNPav2VmJfdYNmjHJRiUa", "Lesson 73")</f>
        <v>Lesson 73</v>
      </c>
      <c r="D69" s="208" t="s">
        <v>1250</v>
      </c>
      <c r="E69" s="213" t="s">
        <v>1251</v>
      </c>
      <c r="F69" s="208" t="s">
        <v>1252</v>
      </c>
      <c r="G69" s="173" t="s">
        <v>1104</v>
      </c>
      <c r="H69" s="178"/>
      <c r="I69" s="175" t="s">
        <v>1253</v>
      </c>
      <c r="J69" s="199" t="s">
        <v>1254</v>
      </c>
      <c r="K69" s="219" t="s">
        <v>1255</v>
      </c>
      <c r="L69" s="217"/>
    </row>
    <row r="70" spans="1:12" ht="409.5" customHeight="1" x14ac:dyDescent="0.45">
      <c r="A70" s="247"/>
      <c r="B70" s="247"/>
      <c r="C70" s="207" t="s">
        <v>1256</v>
      </c>
      <c r="D70" s="208" t="s">
        <v>1257</v>
      </c>
      <c r="E70" s="213" t="s">
        <v>1258</v>
      </c>
      <c r="F70" s="208" t="s">
        <v>1259</v>
      </c>
      <c r="G70" s="173" t="s">
        <v>1260</v>
      </c>
      <c r="H70" s="178" t="s">
        <v>1261</v>
      </c>
      <c r="I70" s="183" t="s">
        <v>1262</v>
      </c>
      <c r="J70" s="199" t="s">
        <v>1263</v>
      </c>
      <c r="K70" s="219" t="s">
        <v>1264</v>
      </c>
      <c r="L70" s="219"/>
    </row>
    <row r="71" spans="1:12" ht="409.5" customHeight="1" x14ac:dyDescent="0.45">
      <c r="A71" s="247"/>
      <c r="B71" s="247"/>
      <c r="C71" s="211" t="str">
        <f>HYPERLINK("https://drive.google.com/drive/folders/1rUp3luDK8Zo5ofkAJ0JQklEIwa2qdXYt", "Lesson 75")</f>
        <v>Lesson 75</v>
      </c>
      <c r="D71" s="208" t="s">
        <v>1265</v>
      </c>
      <c r="E71" s="213" t="s">
        <v>1266</v>
      </c>
      <c r="F71" s="208" t="s">
        <v>1267</v>
      </c>
      <c r="G71" s="173" t="s">
        <v>1268</v>
      </c>
      <c r="H71" s="178" t="s">
        <v>1269</v>
      </c>
      <c r="I71" s="175" t="s">
        <v>1270</v>
      </c>
      <c r="J71" s="199" t="s">
        <v>1271</v>
      </c>
      <c r="K71" s="219" t="s">
        <v>1272</v>
      </c>
      <c r="L71" s="219" t="s">
        <v>1273</v>
      </c>
    </row>
    <row r="72" spans="1:12" ht="409.5" customHeight="1" x14ac:dyDescent="0.45">
      <c r="A72" s="247"/>
      <c r="B72" s="247"/>
      <c r="C72" s="211" t="str">
        <f>HYPERLINK("https://drive.google.com/drive/folders/1rUVDdPaj8MELRI1QVcq-F1wmOpOpXu3D", "Lesson 76")</f>
        <v>Lesson 76</v>
      </c>
      <c r="D72" s="208" t="s">
        <v>1274</v>
      </c>
      <c r="E72" s="213" t="s">
        <v>1275</v>
      </c>
      <c r="F72" s="208" t="s">
        <v>1276</v>
      </c>
      <c r="G72" s="173" t="s">
        <v>1277</v>
      </c>
      <c r="H72" s="178" t="s">
        <v>1278</v>
      </c>
      <c r="I72" s="175" t="s">
        <v>1279</v>
      </c>
      <c r="J72" s="199" t="s">
        <v>1280</v>
      </c>
      <c r="K72" s="219" t="s">
        <v>1281</v>
      </c>
      <c r="L72" s="217" t="s">
        <v>1282</v>
      </c>
    </row>
    <row r="73" spans="1:12" ht="255" customHeight="1" x14ac:dyDescent="0.45">
      <c r="A73" s="247"/>
      <c r="B73" s="247"/>
      <c r="C73" s="211" t="str">
        <f>HYPERLINK("https://drive.google.com/drive/folders/1rU5drvXbhudjf5UYZI_xPnDmIXCHUvHg", "Lesson 77")</f>
        <v>Lesson 77</v>
      </c>
      <c r="D73" s="208" t="s">
        <v>1283</v>
      </c>
      <c r="E73" s="213" t="s">
        <v>1284</v>
      </c>
      <c r="F73" s="208" t="s">
        <v>1285</v>
      </c>
      <c r="G73" s="173" t="s">
        <v>1104</v>
      </c>
      <c r="H73" s="178"/>
      <c r="I73" s="175" t="s">
        <v>1286</v>
      </c>
      <c r="J73" s="199" t="s">
        <v>1287</v>
      </c>
      <c r="K73" s="219" t="s">
        <v>1288</v>
      </c>
      <c r="L73" s="219"/>
    </row>
    <row r="74" spans="1:12" ht="255" customHeight="1" x14ac:dyDescent="0.45">
      <c r="A74" s="247"/>
      <c r="B74" s="247"/>
      <c r="C74" s="211" t="str">
        <f>HYPERLINK("https://drive.google.com/drive/folders/1rakfRdPxYzu2Q7zF44L9lhONQYloWKlV", "Lesson 78")</f>
        <v>Lesson 78</v>
      </c>
      <c r="D74" s="208" t="s">
        <v>1289</v>
      </c>
      <c r="E74" s="213" t="s">
        <v>1290</v>
      </c>
      <c r="F74" s="208" t="s">
        <v>1291</v>
      </c>
      <c r="G74" s="173" t="s">
        <v>1104</v>
      </c>
      <c r="H74" s="178" t="s">
        <v>1292</v>
      </c>
      <c r="I74" s="175" t="s">
        <v>1293</v>
      </c>
      <c r="J74" s="199" t="s">
        <v>1294</v>
      </c>
      <c r="K74" s="219" t="s">
        <v>1295</v>
      </c>
      <c r="L74" s="219"/>
    </row>
    <row r="75" spans="1:12" ht="409.5" customHeight="1" x14ac:dyDescent="0.45">
      <c r="A75" s="247"/>
      <c r="B75" s="247"/>
      <c r="C75" s="211" t="str">
        <f>HYPERLINK("https://drive.google.com/drive/folders/1rYtgRYtC9gDQB1zZjbS260Zi6NW93ij6", "Lesson 79")</f>
        <v>Lesson 79</v>
      </c>
      <c r="D75" s="208" t="s">
        <v>1296</v>
      </c>
      <c r="E75" s="213" t="s">
        <v>1297</v>
      </c>
      <c r="F75" s="208" t="s">
        <v>1298</v>
      </c>
      <c r="G75" s="173" t="s">
        <v>1299</v>
      </c>
      <c r="H75" s="178" t="s">
        <v>1300</v>
      </c>
      <c r="I75" s="175" t="s">
        <v>1301</v>
      </c>
      <c r="J75" s="199" t="s">
        <v>1302</v>
      </c>
      <c r="K75" s="219" t="s">
        <v>1303</v>
      </c>
      <c r="L75" s="217" t="s">
        <v>1304</v>
      </c>
    </row>
    <row r="76" spans="1:12" ht="63.75" customHeight="1" x14ac:dyDescent="0.45">
      <c r="A76" s="247"/>
      <c r="B76" s="247"/>
      <c r="C76" s="251" t="s">
        <v>534</v>
      </c>
      <c r="D76" s="252"/>
      <c r="E76" s="252"/>
      <c r="F76" s="253"/>
      <c r="G76" s="173"/>
      <c r="H76" s="178"/>
      <c r="I76" s="183" t="s">
        <v>534</v>
      </c>
      <c r="J76" s="199"/>
      <c r="K76" s="219"/>
      <c r="L76" s="219"/>
    </row>
    <row r="77" spans="1:12" ht="409.5" customHeight="1" x14ac:dyDescent="0.45">
      <c r="A77" s="247"/>
      <c r="B77" s="247"/>
      <c r="C77" s="211" t="str">
        <f>HYPERLINK("https://drive.google.com/drive/folders/1rdnuygnW9PlFbwSUV-qfLEGapaI8GZCZ", "Lesson 81")</f>
        <v>Lesson 81</v>
      </c>
      <c r="D77" s="208" t="s">
        <v>1305</v>
      </c>
      <c r="E77" s="209" t="s">
        <v>1306</v>
      </c>
      <c r="F77" s="212" t="s">
        <v>1307</v>
      </c>
      <c r="G77" s="173" t="s">
        <v>1308</v>
      </c>
      <c r="H77" s="178" t="s">
        <v>1309</v>
      </c>
      <c r="I77" s="175" t="s">
        <v>1310</v>
      </c>
      <c r="J77" s="199" t="s">
        <v>1311</v>
      </c>
      <c r="K77" s="219" t="s">
        <v>1312</v>
      </c>
      <c r="L77" s="219" t="s">
        <v>1313</v>
      </c>
    </row>
    <row r="78" spans="1:12" ht="409.5" customHeight="1" x14ac:dyDescent="0.45">
      <c r="A78" s="247"/>
      <c r="B78" s="247"/>
      <c r="C78" s="211" t="str">
        <f>HYPERLINK("https://drive.google.com/drive/folders/1rbkn5_boDv1ZgEW9JtuUJhbjf92-xJYe", "Lesson 82")</f>
        <v>Lesson 82</v>
      </c>
      <c r="D78" s="208" t="s">
        <v>1314</v>
      </c>
      <c r="E78" s="209" t="s">
        <v>1315</v>
      </c>
      <c r="F78" s="210" t="s">
        <v>1316</v>
      </c>
      <c r="G78" s="173" t="s">
        <v>1317</v>
      </c>
      <c r="H78" s="178" t="s">
        <v>1318</v>
      </c>
      <c r="I78" s="175" t="s">
        <v>1319</v>
      </c>
      <c r="J78" s="199" t="s">
        <v>1320</v>
      </c>
      <c r="K78" s="219" t="s">
        <v>1321</v>
      </c>
      <c r="L78" s="219" t="s">
        <v>1322</v>
      </c>
    </row>
    <row r="79" spans="1:12" ht="409.5" customHeight="1" x14ac:dyDescent="0.45">
      <c r="A79" s="247"/>
      <c r="B79" s="247"/>
      <c r="C79" s="211" t="str">
        <f>HYPERLINK("https://drive.google.com/drive/folders/1rf5GLaAl2a8kGozOgJeigmsD066bPnej", "Lesson 83")</f>
        <v>Lesson 83</v>
      </c>
      <c r="D79" s="208" t="s">
        <v>1323</v>
      </c>
      <c r="E79" s="209" t="s">
        <v>1324</v>
      </c>
      <c r="F79" s="212" t="s">
        <v>1325</v>
      </c>
      <c r="G79" s="173" t="s">
        <v>1326</v>
      </c>
      <c r="H79" s="178" t="s">
        <v>1327</v>
      </c>
      <c r="I79" s="175" t="s">
        <v>1328</v>
      </c>
      <c r="J79" s="199" t="s">
        <v>1329</v>
      </c>
      <c r="K79" s="219" t="s">
        <v>1330</v>
      </c>
      <c r="L79" s="219" t="s">
        <v>1331</v>
      </c>
    </row>
    <row r="80" spans="1:12" ht="409.5" customHeight="1" x14ac:dyDescent="0.45">
      <c r="A80" s="247"/>
      <c r="B80" s="247"/>
      <c r="C80" s="211" t="str">
        <f>HYPERLINK("https://drive.google.com/drive/folders/1re0_pE4BXAy9yGMnyFiYlg1ef2_XqatU", "Lesson 84")</f>
        <v>Lesson 84</v>
      </c>
      <c r="D80" s="208" t="s">
        <v>1332</v>
      </c>
      <c r="E80" s="209" t="s">
        <v>1333</v>
      </c>
      <c r="F80" s="212" t="s">
        <v>1334</v>
      </c>
      <c r="G80" s="173" t="s">
        <v>1335</v>
      </c>
      <c r="H80" s="178" t="s">
        <v>1336</v>
      </c>
      <c r="I80" s="175" t="s">
        <v>1337</v>
      </c>
      <c r="J80" s="199" t="s">
        <v>1338</v>
      </c>
      <c r="K80" s="219" t="s">
        <v>1339</v>
      </c>
      <c r="L80" s="217" t="s">
        <v>1340</v>
      </c>
    </row>
    <row r="81" spans="1:12" ht="216.75" customHeight="1" x14ac:dyDescent="0.45">
      <c r="A81" s="247"/>
      <c r="B81" s="247"/>
      <c r="C81" s="211" t="str">
        <f>HYPERLINK("https://drive.google.com/drive/folders/1rrv8-ya_qdBULb-gLgGgHR0JLm2JtJyr", "Lesson 85")</f>
        <v>Lesson 85</v>
      </c>
      <c r="D81" s="208" t="s">
        <v>1341</v>
      </c>
      <c r="E81" s="213" t="s">
        <v>1342</v>
      </c>
      <c r="F81" s="208" t="s">
        <v>1343</v>
      </c>
      <c r="G81" s="173" t="s">
        <v>1344</v>
      </c>
      <c r="H81" s="178" t="s">
        <v>1245</v>
      </c>
      <c r="I81" s="175" t="s">
        <v>1345</v>
      </c>
      <c r="J81" s="199" t="s">
        <v>1346</v>
      </c>
      <c r="K81" s="219" t="s">
        <v>1347</v>
      </c>
      <c r="L81" s="219" t="s">
        <v>1348</v>
      </c>
    </row>
    <row r="82" spans="1:12" ht="216.75" customHeight="1" x14ac:dyDescent="0.45">
      <c r="A82" s="247"/>
      <c r="B82" s="247"/>
      <c r="C82" s="211" t="str">
        <f>HYPERLINK("https://drive.google.com/drive/folders/1rpKTrhOLgOpvt6qemZyGez-LX6mrFeBQ", "Lesson 86")</f>
        <v>Lesson 86</v>
      </c>
      <c r="D82" s="208" t="s">
        <v>1349</v>
      </c>
      <c r="E82" s="213" t="s">
        <v>1350</v>
      </c>
      <c r="F82" s="208" t="s">
        <v>1351</v>
      </c>
      <c r="G82" s="173" t="s">
        <v>1352</v>
      </c>
      <c r="H82" s="178" t="s">
        <v>1353</v>
      </c>
      <c r="I82" s="175" t="s">
        <v>1354</v>
      </c>
      <c r="J82" s="199" t="s">
        <v>1355</v>
      </c>
      <c r="K82" s="219" t="s">
        <v>1356</v>
      </c>
      <c r="L82" s="217" t="s">
        <v>1357</v>
      </c>
    </row>
    <row r="83" spans="1:12" ht="255" customHeight="1" x14ac:dyDescent="0.45">
      <c r="A83" s="247"/>
      <c r="B83" s="247"/>
      <c r="C83" s="211" t="str">
        <f>HYPERLINK("https://drive.google.com/drive/folders/1roXLqz2ZhouYJ18JNs-ViWY_TXnA1NOf", "Lesson 87")</f>
        <v>Lesson 87</v>
      </c>
      <c r="D83" s="208" t="s">
        <v>1358</v>
      </c>
      <c r="E83" s="213" t="s">
        <v>1359</v>
      </c>
      <c r="F83" s="208" t="s">
        <v>1360</v>
      </c>
      <c r="G83" s="173" t="s">
        <v>1361</v>
      </c>
      <c r="H83" s="178" t="s">
        <v>1362</v>
      </c>
      <c r="I83" s="175" t="s">
        <v>1363</v>
      </c>
      <c r="J83" s="199" t="s">
        <v>1364</v>
      </c>
      <c r="K83" s="219" t="s">
        <v>1365</v>
      </c>
      <c r="L83" s="217" t="s">
        <v>1366</v>
      </c>
    </row>
    <row r="84" spans="1:12" ht="267.75" customHeight="1" x14ac:dyDescent="0.45">
      <c r="A84" s="247"/>
      <c r="B84" s="247"/>
      <c r="C84" s="211" t="str">
        <f>HYPERLINK("https://drive.google.com/drive/folders/1rno5LfaeCxaOnjzHx2dbBwNs7mjyNdgn", "Lesson 88")</f>
        <v>Lesson 88</v>
      </c>
      <c r="D84" s="208" t="s">
        <v>1367</v>
      </c>
      <c r="E84" s="213" t="s">
        <v>1368</v>
      </c>
      <c r="F84" s="208" t="s">
        <v>1369</v>
      </c>
      <c r="G84" s="173" t="s">
        <v>1104</v>
      </c>
      <c r="H84" s="178"/>
      <c r="I84" s="175" t="s">
        <v>1370</v>
      </c>
      <c r="J84" s="199" t="s">
        <v>1371</v>
      </c>
      <c r="K84" s="219" t="s">
        <v>1372</v>
      </c>
      <c r="L84" s="219"/>
    </row>
    <row r="85" spans="1:12" ht="293.25" customHeight="1" x14ac:dyDescent="0.45">
      <c r="A85" s="247"/>
      <c r="B85" s="247"/>
      <c r="C85" s="211" t="str">
        <f>HYPERLINK("https://drive.google.com/drive/folders/1rnDSRTJxGWxi9CCmftqjd4ijaAE49HbQ", "Lesson 89")</f>
        <v>Lesson 89</v>
      </c>
      <c r="D85" s="208" t="s">
        <v>1373</v>
      </c>
      <c r="E85" s="209" t="s">
        <v>1374</v>
      </c>
      <c r="F85" s="212" t="s">
        <v>1375</v>
      </c>
      <c r="G85" s="173" t="s">
        <v>1104</v>
      </c>
      <c r="H85" s="178"/>
      <c r="I85" s="175" t="s">
        <v>1376</v>
      </c>
      <c r="J85" s="199" t="s">
        <v>1377</v>
      </c>
      <c r="K85" s="219" t="s">
        <v>1378</v>
      </c>
      <c r="L85" s="219"/>
    </row>
    <row r="86" spans="1:12" ht="293.25" customHeight="1" x14ac:dyDescent="0.45">
      <c r="A86" s="247"/>
      <c r="B86" s="247"/>
      <c r="C86" s="211" t="str">
        <f>HYPERLINK("https://drive.google.com/drive/folders/1rkKqt6JkMyJ5s570_ilgI-HqbtPUK3qO", "Lesson 90")</f>
        <v>Lesson 90</v>
      </c>
      <c r="D86" s="208" t="s">
        <v>1379</v>
      </c>
      <c r="E86" s="209" t="s">
        <v>1374</v>
      </c>
      <c r="F86" s="212" t="s">
        <v>1380</v>
      </c>
      <c r="G86" s="173" t="s">
        <v>1104</v>
      </c>
      <c r="H86" s="178"/>
      <c r="I86" s="175" t="s">
        <v>1381</v>
      </c>
      <c r="J86" s="199" t="s">
        <v>1382</v>
      </c>
      <c r="K86" s="219" t="s">
        <v>1383</v>
      </c>
      <c r="L86" s="219"/>
    </row>
    <row r="87" spans="1:12" ht="216.75" customHeight="1" x14ac:dyDescent="0.45">
      <c r="A87" s="247"/>
      <c r="B87" s="247"/>
      <c r="C87" s="211" t="str">
        <f>HYPERLINK("https://drive.google.com/drive/folders/1rjq1G7ydw6vsgrIQUAuPfReefd0R5z9V", "Lesson 91")</f>
        <v>Lesson 91</v>
      </c>
      <c r="D87" s="208" t="s">
        <v>1384</v>
      </c>
      <c r="E87" s="213" t="s">
        <v>1385</v>
      </c>
      <c r="F87" s="208" t="s">
        <v>1386</v>
      </c>
      <c r="G87" s="173" t="s">
        <v>1104</v>
      </c>
      <c r="H87" s="178"/>
      <c r="I87" s="175" t="s">
        <v>1387</v>
      </c>
      <c r="J87" s="199" t="s">
        <v>1388</v>
      </c>
      <c r="K87" s="219" t="s">
        <v>1389</v>
      </c>
      <c r="L87" s="219"/>
    </row>
    <row r="88" spans="1:12" ht="63.75" customHeight="1" x14ac:dyDescent="0.45">
      <c r="A88" s="247"/>
      <c r="B88" s="247"/>
      <c r="C88" s="251" t="s">
        <v>615</v>
      </c>
      <c r="D88" s="252"/>
      <c r="E88" s="252"/>
      <c r="F88" s="253"/>
      <c r="G88" s="173"/>
      <c r="H88" s="178"/>
      <c r="I88" s="183" t="s">
        <v>615</v>
      </c>
      <c r="J88" s="199"/>
      <c r="K88" s="219"/>
      <c r="L88" s="219" t="s">
        <v>1390</v>
      </c>
    </row>
    <row r="89" spans="1:12" ht="293.25" customHeight="1" x14ac:dyDescent="0.45">
      <c r="A89" s="247"/>
      <c r="B89" s="247"/>
      <c r="C89" s="211" t="str">
        <f>HYPERLINK("https://drive.google.com/drive/folders/1rixRjjq9I8NQ-hSWa5v_mSsWnX-a8bzN", "Lesson 92")</f>
        <v>Lesson 92</v>
      </c>
      <c r="D89" s="208" t="s">
        <v>1391</v>
      </c>
      <c r="E89" s="209" t="s">
        <v>1392</v>
      </c>
      <c r="F89" s="212" t="s">
        <v>1393</v>
      </c>
      <c r="G89" s="173" t="s">
        <v>1104</v>
      </c>
      <c r="H89" s="178"/>
      <c r="I89" s="175" t="s">
        <v>1394</v>
      </c>
      <c r="J89" s="199" t="s">
        <v>1395</v>
      </c>
      <c r="K89" s="219" t="s">
        <v>1396</v>
      </c>
      <c r="L89" s="219"/>
    </row>
    <row r="90" spans="1:12" ht="382.5" customHeight="1" x14ac:dyDescent="0.45">
      <c r="A90" s="247"/>
      <c r="B90" s="248"/>
      <c r="C90" s="211" t="str">
        <f>HYPERLINK("https://drive.google.com/drive/folders/1rgMJyQpZj1fdbadPjxvqBpO0E9vtoMqg", "Lesson 93")</f>
        <v>Lesson 93</v>
      </c>
      <c r="D90" s="208" t="s">
        <v>1397</v>
      </c>
      <c r="E90" s="213" t="s">
        <v>1398</v>
      </c>
      <c r="F90" s="208" t="s">
        <v>1399</v>
      </c>
      <c r="G90" s="173" t="s">
        <v>1400</v>
      </c>
      <c r="H90" s="178" t="s">
        <v>1401</v>
      </c>
      <c r="I90" s="175" t="s">
        <v>1402</v>
      </c>
      <c r="J90" s="199" t="s">
        <v>1403</v>
      </c>
      <c r="K90" s="219" t="s">
        <v>1404</v>
      </c>
      <c r="L90" s="217" t="s">
        <v>1405</v>
      </c>
    </row>
    <row r="91" spans="1:12" ht="409.5" customHeight="1" x14ac:dyDescent="0.45">
      <c r="A91" s="247"/>
      <c r="B91" s="249" t="s">
        <v>217</v>
      </c>
      <c r="C91" s="179" t="str">
        <f>HYPERLINK("https://drive.google.com/drive/folders/1rfvWu9urTSihUTlF0A_9lPEghYR6rJO7", "Lesson 95")</f>
        <v>Lesson 95</v>
      </c>
      <c r="D91" s="180" t="s">
        <v>1406</v>
      </c>
      <c r="E91" s="181" t="s">
        <v>1407</v>
      </c>
      <c r="F91" s="180" t="s">
        <v>1408</v>
      </c>
      <c r="G91" s="173" t="s">
        <v>1409</v>
      </c>
      <c r="H91" s="178" t="s">
        <v>1410</v>
      </c>
      <c r="I91" s="175" t="s">
        <v>1411</v>
      </c>
      <c r="J91" s="199" t="s">
        <v>1412</v>
      </c>
      <c r="K91" s="219" t="s">
        <v>1413</v>
      </c>
      <c r="L91" s="219" t="s">
        <v>1414</v>
      </c>
    </row>
    <row r="92" spans="1:12" ht="267.75" customHeight="1" x14ac:dyDescent="0.45">
      <c r="A92" s="247"/>
      <c r="B92" s="247"/>
      <c r="C92" s="179" t="str">
        <f>HYPERLINK("https://drive.google.com/drive/folders/1rxHanGQCDxOi0o4Sydkt4d8xNPhcnc7G", "Lesson 97")</f>
        <v>Lesson 97</v>
      </c>
      <c r="D92" s="180" t="s">
        <v>1415</v>
      </c>
      <c r="E92" s="181" t="s">
        <v>1416</v>
      </c>
      <c r="F92" s="180" t="s">
        <v>1417</v>
      </c>
      <c r="G92" s="173" t="s">
        <v>1104</v>
      </c>
      <c r="H92" s="178"/>
      <c r="I92" s="175" t="s">
        <v>1418</v>
      </c>
      <c r="J92" s="199" t="s">
        <v>1419</v>
      </c>
      <c r="K92" s="219" t="s">
        <v>1420</v>
      </c>
      <c r="L92" s="219"/>
    </row>
    <row r="93" spans="1:12" ht="409.5" customHeight="1" x14ac:dyDescent="0.45">
      <c r="A93" s="247"/>
      <c r="B93" s="247"/>
      <c r="C93" s="215" t="s">
        <v>1421</v>
      </c>
      <c r="D93" s="180" t="s">
        <v>1422</v>
      </c>
      <c r="E93" s="181" t="s">
        <v>1423</v>
      </c>
      <c r="F93" s="184" t="s">
        <v>1424</v>
      </c>
      <c r="G93" s="173" t="s">
        <v>1425</v>
      </c>
      <c r="H93" s="178" t="s">
        <v>1426</v>
      </c>
      <c r="I93" s="183" t="s">
        <v>1427</v>
      </c>
      <c r="J93" s="199" t="s">
        <v>1428</v>
      </c>
      <c r="K93" s="219" t="s">
        <v>1429</v>
      </c>
      <c r="L93" s="217" t="s">
        <v>1430</v>
      </c>
    </row>
    <row r="94" spans="1:12" ht="318.75" customHeight="1" x14ac:dyDescent="0.45">
      <c r="A94" s="247"/>
      <c r="B94" s="247"/>
      <c r="C94" s="179" t="str">
        <f>HYPERLINK("https://drive.google.com/drive/folders/1rtVUs9zWVLfWK4yxl4qzRA69oHLQ7kFt", "Lesson 99")</f>
        <v>Lesson 99</v>
      </c>
      <c r="D94" s="180" t="s">
        <v>1431</v>
      </c>
      <c r="E94" s="181" t="s">
        <v>1432</v>
      </c>
      <c r="F94" s="180" t="s">
        <v>1433</v>
      </c>
      <c r="G94" s="173" t="s">
        <v>802</v>
      </c>
      <c r="H94" s="178"/>
      <c r="I94" s="175" t="s">
        <v>1434</v>
      </c>
      <c r="J94" s="199" t="s">
        <v>1435</v>
      </c>
      <c r="K94" s="219" t="s">
        <v>1436</v>
      </c>
      <c r="L94" s="219"/>
    </row>
    <row r="95" spans="1:12" ht="267.75" customHeight="1" x14ac:dyDescent="0.45">
      <c r="A95" s="247"/>
      <c r="B95" s="247"/>
      <c r="C95" s="179" t="str">
        <f>HYPERLINK("https://drive.google.com/drive/folders/1_JTcwI3GyyDkqL-4biYghSqh4ThYex4K", "Lesson 100")</f>
        <v>Lesson 100</v>
      </c>
      <c r="D95" s="180" t="s">
        <v>1437</v>
      </c>
      <c r="E95" s="181" t="s">
        <v>1438</v>
      </c>
      <c r="F95" s="180" t="s">
        <v>1439</v>
      </c>
      <c r="G95" s="173" t="s">
        <v>1440</v>
      </c>
      <c r="H95" s="178" t="s">
        <v>1441</v>
      </c>
      <c r="I95" s="175" t="s">
        <v>1442</v>
      </c>
      <c r="J95" s="199" t="s">
        <v>1443</v>
      </c>
      <c r="K95" s="219" t="s">
        <v>1444</v>
      </c>
      <c r="L95" s="217" t="s">
        <v>1445</v>
      </c>
    </row>
    <row r="96" spans="1:12" ht="331.5" customHeight="1" x14ac:dyDescent="0.45">
      <c r="A96" s="247"/>
      <c r="B96" s="247"/>
      <c r="C96" s="179" t="str">
        <f>HYPERLINK("https://drive.google.com/drive/folders/1q7BpiZCT9uKeqDi6_SrjRiaEkEhP8QVE", "Lesson 103")</f>
        <v>Lesson 103</v>
      </c>
      <c r="D96" s="180" t="s">
        <v>1446</v>
      </c>
      <c r="E96" s="177" t="s">
        <v>1447</v>
      </c>
      <c r="F96" s="172" t="s">
        <v>1448</v>
      </c>
      <c r="G96" s="173" t="s">
        <v>802</v>
      </c>
      <c r="H96" s="178"/>
      <c r="I96" s="175" t="s">
        <v>1449</v>
      </c>
      <c r="J96" s="199" t="s">
        <v>1450</v>
      </c>
      <c r="K96" s="219" t="s">
        <v>1451</v>
      </c>
      <c r="L96" s="219"/>
    </row>
    <row r="97" spans="1:12" ht="255" customHeight="1" x14ac:dyDescent="0.45">
      <c r="A97" s="247"/>
      <c r="B97" s="247"/>
      <c r="C97" s="179" t="str">
        <f>HYPERLINK("https://drive.google.com/drive/folders/1q57ThLK76cXPsE1KCtZqHjX9zmVVa7ID", "Lesson 104")</f>
        <v>Lesson 104</v>
      </c>
      <c r="D97" s="180" t="s">
        <v>1452</v>
      </c>
      <c r="E97" s="181" t="s">
        <v>1453</v>
      </c>
      <c r="F97" s="180" t="s">
        <v>1454</v>
      </c>
      <c r="G97" s="173" t="s">
        <v>1455</v>
      </c>
      <c r="H97" s="178" t="s">
        <v>1456</v>
      </c>
      <c r="I97" s="175" t="s">
        <v>1457</v>
      </c>
      <c r="J97" s="199" t="s">
        <v>1458</v>
      </c>
      <c r="K97" s="219" t="s">
        <v>1451</v>
      </c>
      <c r="L97" s="219" t="s">
        <v>1459</v>
      </c>
    </row>
    <row r="98" spans="1:12" ht="280.5" customHeight="1" x14ac:dyDescent="0.45">
      <c r="A98" s="247"/>
      <c r="B98" s="247"/>
      <c r="C98" s="179" t="str">
        <f>HYPERLINK("https://drive.google.com/drive/folders/1q49Jn-M9MTmZwPehfvjn2zlAbvdp_hl8", "Lesson 105")</f>
        <v>Lesson 105</v>
      </c>
      <c r="D98" s="180" t="s">
        <v>1460</v>
      </c>
      <c r="E98" s="181" t="s">
        <v>1461</v>
      </c>
      <c r="F98" s="180" t="s">
        <v>1462</v>
      </c>
      <c r="G98" s="173" t="s">
        <v>802</v>
      </c>
      <c r="H98" s="178"/>
      <c r="I98" s="175" t="s">
        <v>1463</v>
      </c>
      <c r="J98" s="199" t="s">
        <v>1464</v>
      </c>
      <c r="K98" s="219" t="s">
        <v>1465</v>
      </c>
      <c r="L98" s="219"/>
    </row>
    <row r="99" spans="1:12" ht="242.25" customHeight="1" x14ac:dyDescent="0.45">
      <c r="A99" s="247"/>
      <c r="B99" s="247"/>
      <c r="C99" s="179" t="str">
        <f>HYPERLINK("https://drive.google.com/drive/folders/1q3gdveancVfuj7-Qda3DHsKtftocwN-U", "Lesson 106")</f>
        <v>Lesson 106</v>
      </c>
      <c r="D99" s="180" t="s">
        <v>1466</v>
      </c>
      <c r="E99" s="181" t="s">
        <v>1467</v>
      </c>
      <c r="F99" s="180" t="s">
        <v>1468</v>
      </c>
      <c r="G99" s="173" t="s">
        <v>802</v>
      </c>
      <c r="H99" s="178" t="s">
        <v>1469</v>
      </c>
      <c r="I99" s="175" t="s">
        <v>1470</v>
      </c>
      <c r="J99" s="199" t="s">
        <v>1471</v>
      </c>
      <c r="K99" s="219" t="s">
        <v>1472</v>
      </c>
      <c r="L99" s="219"/>
    </row>
    <row r="100" spans="1:12" ht="318.75" customHeight="1" x14ac:dyDescent="0.45">
      <c r="A100" s="247"/>
      <c r="B100" s="247"/>
      <c r="C100" s="179" t="str">
        <f>HYPERLINK("https://drive.google.com/drive/folders/1q3C_JZtjkNoNLMZq7fSvHdw3lIcZicpA", "Lesson 107")</f>
        <v>Lesson 107</v>
      </c>
      <c r="D100" s="180" t="s">
        <v>1473</v>
      </c>
      <c r="E100" s="181" t="s">
        <v>1474</v>
      </c>
      <c r="F100" s="180" t="s">
        <v>1475</v>
      </c>
      <c r="G100" s="173" t="s">
        <v>1476</v>
      </c>
      <c r="H100" s="178" t="s">
        <v>1477</v>
      </c>
      <c r="I100" s="175" t="s">
        <v>1478</v>
      </c>
      <c r="J100" s="199" t="s">
        <v>1479</v>
      </c>
      <c r="K100" s="219" t="s">
        <v>1480</v>
      </c>
      <c r="L100" s="219" t="s">
        <v>1481</v>
      </c>
    </row>
    <row r="101" spans="1:12" ht="267.75" customHeight="1" x14ac:dyDescent="0.45">
      <c r="A101" s="247"/>
      <c r="B101" s="247"/>
      <c r="C101" s="179" t="str">
        <f>HYPERLINK("https://drive.google.com/drive/folders/1q2g5edty9VazZMis3RCRXUjOkOHXMtUA", "Lesson 108")</f>
        <v>Lesson 108</v>
      </c>
      <c r="D101" s="180" t="s">
        <v>1482</v>
      </c>
      <c r="E101" s="181" t="s">
        <v>1483</v>
      </c>
      <c r="F101" s="180" t="s">
        <v>1484</v>
      </c>
      <c r="G101" s="173" t="s">
        <v>802</v>
      </c>
      <c r="H101" s="178" t="s">
        <v>1485</v>
      </c>
      <c r="I101" s="175" t="s">
        <v>1486</v>
      </c>
      <c r="J101" s="199" t="s">
        <v>1487</v>
      </c>
      <c r="K101" s="219" t="s">
        <v>1488</v>
      </c>
      <c r="L101" s="219"/>
    </row>
    <row r="102" spans="1:12" ht="267.75" customHeight="1" x14ac:dyDescent="0.45">
      <c r="A102" s="247"/>
      <c r="B102" s="247"/>
      <c r="C102" s="179" t="str">
        <f>HYPERLINK("https://drive.google.com/drive/folders/1q2VijghmGPmifu9BeFvm5ppzrBPWy16O", "Lesson 109")</f>
        <v>Lesson 109</v>
      </c>
      <c r="D102" s="180" t="s">
        <v>1489</v>
      </c>
      <c r="E102" s="181" t="s">
        <v>1490</v>
      </c>
      <c r="F102" s="180" t="s">
        <v>1491</v>
      </c>
      <c r="G102" s="173" t="s">
        <v>802</v>
      </c>
      <c r="H102" s="178"/>
      <c r="I102" s="175" t="s">
        <v>1492</v>
      </c>
      <c r="J102" s="199" t="s">
        <v>1493</v>
      </c>
      <c r="K102" s="219" t="s">
        <v>1494</v>
      </c>
      <c r="L102" s="219"/>
    </row>
    <row r="103" spans="1:12" ht="293.25" customHeight="1" x14ac:dyDescent="0.45">
      <c r="A103" s="247"/>
      <c r="B103" s="247"/>
      <c r="C103" s="179" t="str">
        <f>HYPERLINK("https://drive.google.com/drive/folders/1q1glQpO2vbldAY5ZnlV_udmDZS57SFkH", "Lesson 110")</f>
        <v>Lesson 110</v>
      </c>
      <c r="D103" s="180" t="s">
        <v>1495</v>
      </c>
      <c r="E103" s="181" t="s">
        <v>1496</v>
      </c>
      <c r="F103" s="180" t="s">
        <v>1497</v>
      </c>
      <c r="G103" s="173" t="s">
        <v>1498</v>
      </c>
      <c r="H103" s="178" t="s">
        <v>1499</v>
      </c>
      <c r="I103" s="175" t="s">
        <v>1500</v>
      </c>
      <c r="J103" s="199" t="s">
        <v>1501</v>
      </c>
      <c r="K103" s="219" t="s">
        <v>1502</v>
      </c>
      <c r="L103" s="219"/>
    </row>
    <row r="104" spans="1:12" ht="306" customHeight="1" x14ac:dyDescent="0.45">
      <c r="A104" s="247"/>
      <c r="B104" s="247"/>
      <c r="C104" s="179" t="str">
        <f>HYPERLINK("https://drive.google.com/drive/folders/1q-ctJMzotuDtL7dedWWXOWy45VWY6UQh", "Lesson 111")</f>
        <v>Lesson 111</v>
      </c>
      <c r="D104" s="180" t="s">
        <v>1503</v>
      </c>
      <c r="E104" s="181" t="s">
        <v>1504</v>
      </c>
      <c r="F104" s="180" t="s">
        <v>1505</v>
      </c>
      <c r="G104" s="173" t="s">
        <v>802</v>
      </c>
      <c r="H104" s="178"/>
      <c r="I104" s="175" t="s">
        <v>1506</v>
      </c>
      <c r="J104" s="199" t="s">
        <v>1507</v>
      </c>
      <c r="K104" s="219" t="s">
        <v>1494</v>
      </c>
      <c r="L104" s="219"/>
    </row>
    <row r="105" spans="1:12" ht="255" customHeight="1" x14ac:dyDescent="0.45">
      <c r="A105" s="247"/>
      <c r="B105" s="247"/>
      <c r="C105" s="179" t="str">
        <f>HYPERLINK("https://drive.google.com/drive/folders/1qT0c4HZov0g3uLk2JGhrr_Wyl0z5XrEB", "Lesson 112")</f>
        <v>Lesson 112</v>
      </c>
      <c r="D105" s="180" t="s">
        <v>1508</v>
      </c>
      <c r="E105" s="181" t="s">
        <v>1509</v>
      </c>
      <c r="F105" s="180" t="s">
        <v>1510</v>
      </c>
      <c r="G105" s="173" t="s">
        <v>1511</v>
      </c>
      <c r="H105" s="178" t="s">
        <v>1512</v>
      </c>
      <c r="I105" s="175" t="s">
        <v>1513</v>
      </c>
      <c r="J105" s="199" t="s">
        <v>1514</v>
      </c>
      <c r="K105" s="219" t="s">
        <v>1494</v>
      </c>
      <c r="L105" s="219" t="s">
        <v>1515</v>
      </c>
    </row>
    <row r="106" spans="1:12" ht="15.75" customHeight="1" x14ac:dyDescent="0.45">
      <c r="A106" s="248"/>
      <c r="B106" s="248"/>
      <c r="C106" s="255" t="s">
        <v>737</v>
      </c>
      <c r="D106" s="252"/>
      <c r="E106" s="252"/>
      <c r="F106" s="253"/>
      <c r="G106" s="173"/>
      <c r="H106" s="178"/>
      <c r="I106" s="183" t="s">
        <v>737</v>
      </c>
      <c r="J106" s="183"/>
      <c r="K106" s="219"/>
      <c r="L106" s="219" t="s">
        <v>1516</v>
      </c>
    </row>
    <row r="107" spans="1:12" ht="15.75" customHeight="1" x14ac:dyDescent="0.45">
      <c r="A107" s="226"/>
      <c r="B107" s="226"/>
      <c r="C107" s="216"/>
      <c r="D107" s="216"/>
      <c r="E107" s="216"/>
      <c r="F107" s="216"/>
      <c r="G107" s="217"/>
      <c r="H107" s="218"/>
      <c r="I107" s="218" t="s">
        <v>1517</v>
      </c>
      <c r="J107" s="218"/>
      <c r="K107" s="219"/>
      <c r="L107" s="219"/>
    </row>
    <row r="108" spans="1:12" ht="15.75" customHeight="1" x14ac:dyDescent="0.45">
      <c r="A108" s="226"/>
      <c r="B108" s="226"/>
      <c r="C108" s="216"/>
      <c r="D108" s="216"/>
      <c r="E108" s="216"/>
      <c r="F108" s="216"/>
      <c r="G108" s="217"/>
      <c r="H108" s="218"/>
      <c r="I108" s="218" t="s">
        <v>1517</v>
      </c>
      <c r="J108" s="218"/>
      <c r="K108" s="219"/>
      <c r="L108" s="219"/>
    </row>
    <row r="109" spans="1:12" ht="15.75" customHeight="1" x14ac:dyDescent="0.45">
      <c r="A109" s="226"/>
      <c r="B109" s="226"/>
      <c r="C109" s="216"/>
      <c r="D109" s="216"/>
      <c r="E109" s="216"/>
      <c r="F109" s="216"/>
      <c r="G109" s="217"/>
      <c r="H109" s="218"/>
      <c r="I109" s="218" t="s">
        <v>1517</v>
      </c>
      <c r="J109" s="218"/>
      <c r="K109" s="219"/>
      <c r="L109" s="219"/>
    </row>
    <row r="110" spans="1:12" ht="15.75" customHeight="1" x14ac:dyDescent="0.45">
      <c r="A110" s="226"/>
      <c r="B110" s="226"/>
      <c r="C110" s="216"/>
      <c r="D110" s="216"/>
      <c r="E110" s="216"/>
      <c r="F110" s="216"/>
      <c r="G110" s="217"/>
      <c r="H110" s="218"/>
      <c r="I110" s="218" t="s">
        <v>1517</v>
      </c>
      <c r="J110" s="218"/>
      <c r="K110" s="219"/>
      <c r="L110" s="219"/>
    </row>
    <row r="111" spans="1:12" ht="15.75" customHeight="1" x14ac:dyDescent="0.45">
      <c r="A111" s="226"/>
      <c r="B111" s="226"/>
      <c r="C111" s="216"/>
      <c r="D111" s="216"/>
      <c r="E111" s="216"/>
      <c r="F111" s="216"/>
      <c r="G111" s="217"/>
      <c r="H111" s="218"/>
      <c r="I111" s="218" t="s">
        <v>1517</v>
      </c>
      <c r="J111" s="218"/>
      <c r="K111" s="219"/>
      <c r="L111" s="219"/>
    </row>
    <row r="112" spans="1:12" ht="15.75" customHeight="1" x14ac:dyDescent="0.45">
      <c r="A112" s="226"/>
      <c r="B112" s="226"/>
      <c r="C112" s="216"/>
      <c r="D112" s="216"/>
      <c r="E112" s="216"/>
      <c r="F112" s="216"/>
      <c r="G112" s="217"/>
      <c r="H112" s="218"/>
      <c r="I112" s="218" t="s">
        <v>1517</v>
      </c>
      <c r="J112" s="218"/>
      <c r="K112" s="219"/>
      <c r="L112" s="219"/>
    </row>
    <row r="113" spans="1:10" ht="15.75" customHeight="1" x14ac:dyDescent="0.45">
      <c r="A113" s="226"/>
      <c r="B113" s="226"/>
      <c r="C113" s="216"/>
      <c r="D113" s="216"/>
      <c r="E113" s="216"/>
      <c r="F113" s="216"/>
      <c r="G113" s="217"/>
      <c r="H113" s="218"/>
      <c r="I113" s="218" t="s">
        <v>1517</v>
      </c>
      <c r="J113" s="218"/>
    </row>
    <row r="114" spans="1:10" ht="15.75" customHeight="1" x14ac:dyDescent="0.45">
      <c r="A114" s="226"/>
      <c r="B114" s="226"/>
      <c r="C114" s="216"/>
      <c r="D114" s="216"/>
      <c r="E114" s="216"/>
      <c r="F114" s="216"/>
      <c r="G114" s="217"/>
      <c r="H114" s="218"/>
      <c r="I114" s="218" t="s">
        <v>1517</v>
      </c>
      <c r="J114" s="218"/>
    </row>
    <row r="115" spans="1:10" ht="15.75" customHeight="1" x14ac:dyDescent="0.45">
      <c r="A115" s="226"/>
      <c r="B115" s="226"/>
      <c r="C115" s="216"/>
      <c r="D115" s="216"/>
      <c r="E115" s="216"/>
      <c r="F115" s="216"/>
      <c r="G115" s="217"/>
      <c r="H115" s="218"/>
      <c r="I115" s="218" t="s">
        <v>1517</v>
      </c>
      <c r="J115" s="218"/>
    </row>
    <row r="116" spans="1:10" ht="15.75" customHeight="1" x14ac:dyDescent="0.45">
      <c r="A116" s="226"/>
      <c r="B116" s="226"/>
      <c r="C116" s="216"/>
      <c r="D116" s="216"/>
      <c r="E116" s="216"/>
      <c r="F116" s="216"/>
      <c r="G116" s="217"/>
      <c r="H116" s="218"/>
      <c r="I116" s="218" t="s">
        <v>1517</v>
      </c>
      <c r="J116" s="218"/>
    </row>
    <row r="117" spans="1:10" ht="15.75" customHeight="1" x14ac:dyDescent="0.45">
      <c r="A117" s="226"/>
      <c r="B117" s="226"/>
      <c r="C117" s="216"/>
      <c r="D117" s="216"/>
      <c r="E117" s="216"/>
      <c r="F117" s="216"/>
      <c r="G117" s="217"/>
      <c r="H117" s="218"/>
      <c r="I117" s="218" t="s">
        <v>1517</v>
      </c>
      <c r="J117" s="218"/>
    </row>
    <row r="118" spans="1:10" ht="15.75" customHeight="1" x14ac:dyDescent="0.45">
      <c r="A118" s="226"/>
      <c r="B118" s="226"/>
      <c r="C118" s="216"/>
      <c r="D118" s="216"/>
      <c r="E118" s="216"/>
      <c r="F118" s="216"/>
      <c r="G118" s="217"/>
      <c r="H118" s="218"/>
      <c r="I118" s="218" t="s">
        <v>1517</v>
      </c>
      <c r="J118" s="218"/>
    </row>
    <row r="119" spans="1:10" ht="15.75" customHeight="1" x14ac:dyDescent="0.45">
      <c r="A119" s="226"/>
      <c r="B119" s="226"/>
      <c r="C119" s="216"/>
      <c r="D119" s="216"/>
      <c r="E119" s="216"/>
      <c r="F119" s="216"/>
      <c r="G119" s="217"/>
      <c r="H119" s="218"/>
      <c r="I119" s="218" t="s">
        <v>1517</v>
      </c>
      <c r="J119" s="218"/>
    </row>
    <row r="120" spans="1:10" ht="15.75" customHeight="1" x14ac:dyDescent="0.45">
      <c r="A120" s="226"/>
      <c r="B120" s="226"/>
      <c r="C120" s="216"/>
      <c r="D120" s="216"/>
      <c r="E120" s="216"/>
      <c r="F120" s="216"/>
      <c r="G120" s="217"/>
      <c r="H120" s="218"/>
      <c r="I120" s="218" t="s">
        <v>1517</v>
      </c>
      <c r="J120" s="218"/>
    </row>
    <row r="121" spans="1:10" ht="15.75" customHeight="1" x14ac:dyDescent="0.45">
      <c r="A121" s="226"/>
      <c r="B121" s="226"/>
      <c r="C121" s="216"/>
      <c r="D121" s="216"/>
      <c r="E121" s="216"/>
      <c r="F121" s="216"/>
      <c r="G121" s="217"/>
      <c r="H121" s="218"/>
      <c r="I121" s="218" t="s">
        <v>1517</v>
      </c>
      <c r="J121" s="218"/>
    </row>
    <row r="122" spans="1:10" ht="15.75" customHeight="1" x14ac:dyDescent="0.45">
      <c r="A122" s="226"/>
      <c r="B122" s="226"/>
      <c r="C122" s="216"/>
      <c r="D122" s="216"/>
      <c r="E122" s="216"/>
      <c r="F122" s="216"/>
      <c r="G122" s="217"/>
      <c r="H122" s="218"/>
      <c r="I122" s="218" t="s">
        <v>1517</v>
      </c>
      <c r="J122" s="218"/>
    </row>
    <row r="123" spans="1:10" ht="15.75" customHeight="1" x14ac:dyDescent="0.45">
      <c r="A123" s="226"/>
      <c r="B123" s="226"/>
      <c r="C123" s="216"/>
      <c r="D123" s="216"/>
      <c r="E123" s="216"/>
      <c r="F123" s="216"/>
      <c r="G123" s="217"/>
      <c r="H123" s="218"/>
      <c r="I123" s="218" t="s">
        <v>1517</v>
      </c>
      <c r="J123" s="218"/>
    </row>
    <row r="124" spans="1:10" ht="15.75" customHeight="1" x14ac:dyDescent="0.45">
      <c r="A124" s="226"/>
      <c r="B124" s="226"/>
      <c r="C124" s="216"/>
      <c r="D124" s="216"/>
      <c r="E124" s="216"/>
      <c r="F124" s="216"/>
      <c r="G124" s="217"/>
      <c r="H124" s="218"/>
      <c r="I124" s="218" t="s">
        <v>1517</v>
      </c>
      <c r="J124" s="218"/>
    </row>
    <row r="125" spans="1:10" ht="15.75" customHeight="1" x14ac:dyDescent="0.45">
      <c r="A125" s="226"/>
      <c r="B125" s="226"/>
      <c r="C125" s="216"/>
      <c r="D125" s="216"/>
      <c r="E125" s="216"/>
      <c r="F125" s="216"/>
      <c r="G125" s="217"/>
      <c r="H125" s="218"/>
      <c r="I125" s="218" t="s">
        <v>1517</v>
      </c>
      <c r="J125" s="218"/>
    </row>
    <row r="126" spans="1:10" ht="15.75" customHeight="1" x14ac:dyDescent="0.45">
      <c r="A126" s="226"/>
      <c r="B126" s="226"/>
      <c r="C126" s="216"/>
      <c r="D126" s="216"/>
      <c r="E126" s="216"/>
      <c r="F126" s="216"/>
      <c r="G126" s="217"/>
      <c r="H126" s="218"/>
      <c r="I126" s="218" t="s">
        <v>1517</v>
      </c>
      <c r="J126" s="218"/>
    </row>
    <row r="127" spans="1:10" ht="15.75" customHeight="1" x14ac:dyDescent="0.45">
      <c r="A127" s="226"/>
      <c r="B127" s="226"/>
      <c r="C127" s="216"/>
      <c r="D127" s="216"/>
      <c r="E127" s="216"/>
      <c r="F127" s="216"/>
      <c r="G127" s="217"/>
      <c r="H127" s="218"/>
      <c r="I127" s="218" t="s">
        <v>1517</v>
      </c>
      <c r="J127" s="218"/>
    </row>
    <row r="128" spans="1:10" ht="15.75" customHeight="1" x14ac:dyDescent="0.45">
      <c r="A128" s="226"/>
      <c r="B128" s="226"/>
      <c r="C128" s="216"/>
      <c r="D128" s="216"/>
      <c r="E128" s="216"/>
      <c r="F128" s="216"/>
      <c r="G128" s="217"/>
      <c r="H128" s="218"/>
      <c r="I128" s="218" t="s">
        <v>1517</v>
      </c>
      <c r="J128" s="218"/>
    </row>
    <row r="129" spans="1:10" ht="15.75" customHeight="1" x14ac:dyDescent="0.45">
      <c r="A129" s="226"/>
      <c r="B129" s="226"/>
      <c r="C129" s="216"/>
      <c r="D129" s="216"/>
      <c r="E129" s="216"/>
      <c r="F129" s="216"/>
      <c r="G129" s="217"/>
      <c r="H129" s="218"/>
      <c r="I129" s="218" t="s">
        <v>1517</v>
      </c>
      <c r="J129" s="218"/>
    </row>
    <row r="130" spans="1:10" ht="15.75" customHeight="1" x14ac:dyDescent="0.45">
      <c r="A130" s="226"/>
      <c r="B130" s="226"/>
      <c r="C130" s="216"/>
      <c r="D130" s="216"/>
      <c r="E130" s="216"/>
      <c r="F130" s="216"/>
      <c r="G130" s="217"/>
      <c r="H130" s="218"/>
      <c r="I130" s="218" t="s">
        <v>1517</v>
      </c>
      <c r="J130" s="218"/>
    </row>
    <row r="131" spans="1:10" ht="15.75" customHeight="1" x14ac:dyDescent="0.45">
      <c r="A131" s="226"/>
      <c r="B131" s="226"/>
      <c r="C131" s="216"/>
      <c r="D131" s="216"/>
      <c r="E131" s="216"/>
      <c r="F131" s="216"/>
      <c r="G131" s="217"/>
      <c r="H131" s="218"/>
      <c r="I131" s="218" t="s">
        <v>1517</v>
      </c>
      <c r="J131" s="218"/>
    </row>
    <row r="132" spans="1:10" ht="15.75" customHeight="1" x14ac:dyDescent="0.45">
      <c r="A132" s="226"/>
      <c r="B132" s="226"/>
      <c r="C132" s="216"/>
      <c r="D132" s="216"/>
      <c r="E132" s="216"/>
      <c r="F132" s="216"/>
      <c r="G132" s="217"/>
      <c r="H132" s="218"/>
      <c r="I132" s="218" t="s">
        <v>1517</v>
      </c>
      <c r="J132" s="218"/>
    </row>
    <row r="133" spans="1:10" ht="15.75" customHeight="1" x14ac:dyDescent="0.45">
      <c r="A133" s="226"/>
      <c r="B133" s="226"/>
      <c r="C133" s="216"/>
      <c r="D133" s="216"/>
      <c r="E133" s="216"/>
      <c r="F133" s="216"/>
      <c r="G133" s="217"/>
      <c r="H133" s="218"/>
      <c r="I133" s="218" t="s">
        <v>1517</v>
      </c>
      <c r="J133" s="218"/>
    </row>
    <row r="134" spans="1:10" ht="15.75" customHeight="1" x14ac:dyDescent="0.45">
      <c r="A134" s="226"/>
      <c r="B134" s="226"/>
      <c r="C134" s="216"/>
      <c r="D134" s="216"/>
      <c r="E134" s="216"/>
      <c r="F134" s="216"/>
      <c r="G134" s="217"/>
      <c r="H134" s="218"/>
      <c r="I134" s="218" t="s">
        <v>1517</v>
      </c>
      <c r="J134" s="218"/>
    </row>
    <row r="135" spans="1:10" ht="15.75" customHeight="1" x14ac:dyDescent="0.45">
      <c r="A135" s="226"/>
      <c r="B135" s="226"/>
      <c r="C135" s="216"/>
      <c r="D135" s="216"/>
      <c r="E135" s="216"/>
      <c r="F135" s="216"/>
      <c r="G135" s="217"/>
      <c r="H135" s="218"/>
      <c r="I135" s="218" t="s">
        <v>1517</v>
      </c>
      <c r="J135" s="218"/>
    </row>
    <row r="136" spans="1:10" ht="15.75" customHeight="1" x14ac:dyDescent="0.45">
      <c r="A136" s="226"/>
      <c r="B136" s="226"/>
      <c r="C136" s="216"/>
      <c r="D136" s="216"/>
      <c r="E136" s="216"/>
      <c r="F136" s="216"/>
      <c r="G136" s="217"/>
      <c r="H136" s="218"/>
      <c r="I136" s="218" t="s">
        <v>1517</v>
      </c>
      <c r="J136" s="218"/>
    </row>
    <row r="137" spans="1:10" ht="15.75" customHeight="1" x14ac:dyDescent="0.45">
      <c r="A137" s="226"/>
      <c r="B137" s="226"/>
      <c r="C137" s="216"/>
      <c r="D137" s="216"/>
      <c r="E137" s="216"/>
      <c r="F137" s="216"/>
      <c r="G137" s="217"/>
      <c r="H137" s="218"/>
      <c r="I137" s="218" t="s">
        <v>1517</v>
      </c>
      <c r="J137" s="218"/>
    </row>
    <row r="138" spans="1:10" ht="15.75" customHeight="1" x14ac:dyDescent="0.45">
      <c r="A138" s="226"/>
      <c r="B138" s="226"/>
      <c r="C138" s="216"/>
      <c r="D138" s="216"/>
      <c r="E138" s="216"/>
      <c r="F138" s="216"/>
      <c r="G138" s="217"/>
      <c r="H138" s="218"/>
      <c r="I138" s="218" t="s">
        <v>1517</v>
      </c>
      <c r="J138" s="218"/>
    </row>
    <row r="139" spans="1:10" ht="15.75" customHeight="1" x14ac:dyDescent="0.45">
      <c r="A139" s="226"/>
      <c r="B139" s="226"/>
      <c r="C139" s="216"/>
      <c r="D139" s="216"/>
      <c r="E139" s="216"/>
      <c r="F139" s="216"/>
      <c r="G139" s="217"/>
      <c r="H139" s="218"/>
      <c r="I139" s="218" t="s">
        <v>1517</v>
      </c>
      <c r="J139" s="218"/>
    </row>
    <row r="140" spans="1:10" ht="15.75" customHeight="1" x14ac:dyDescent="0.45">
      <c r="A140" s="226"/>
      <c r="B140" s="226"/>
      <c r="C140" s="216"/>
      <c r="D140" s="216"/>
      <c r="E140" s="216"/>
      <c r="F140" s="216"/>
      <c r="G140" s="217"/>
      <c r="H140" s="218"/>
      <c r="I140" s="218" t="s">
        <v>1517</v>
      </c>
      <c r="J140" s="218"/>
    </row>
    <row r="141" spans="1:10" ht="15.75" customHeight="1" x14ac:dyDescent="0.45">
      <c r="A141" s="226"/>
      <c r="B141" s="226"/>
      <c r="C141" s="216"/>
      <c r="D141" s="216"/>
      <c r="E141" s="216"/>
      <c r="F141" s="216"/>
      <c r="G141" s="217"/>
      <c r="H141" s="218"/>
      <c r="I141" s="218" t="s">
        <v>1517</v>
      </c>
      <c r="J141" s="218"/>
    </row>
    <row r="142" spans="1:10" ht="15.75" customHeight="1" x14ac:dyDescent="0.45">
      <c r="A142" s="226"/>
      <c r="B142" s="226"/>
      <c r="C142" s="216"/>
      <c r="D142" s="216"/>
      <c r="E142" s="216"/>
      <c r="F142" s="216"/>
      <c r="G142" s="217"/>
      <c r="H142" s="218"/>
      <c r="I142" s="218" t="s">
        <v>1517</v>
      </c>
      <c r="J142" s="218"/>
    </row>
    <row r="143" spans="1:10" ht="15.75" customHeight="1" x14ac:dyDescent="0.45">
      <c r="A143" s="226"/>
      <c r="B143" s="226"/>
      <c r="C143" s="216"/>
      <c r="D143" s="216"/>
      <c r="E143" s="216"/>
      <c r="F143" s="216"/>
      <c r="G143" s="217"/>
      <c r="H143" s="218"/>
      <c r="I143" s="218" t="s">
        <v>1517</v>
      </c>
      <c r="J143" s="218"/>
    </row>
    <row r="144" spans="1:10" ht="15.75" customHeight="1" x14ac:dyDescent="0.45">
      <c r="A144" s="226"/>
      <c r="B144" s="226"/>
      <c r="C144" s="216"/>
      <c r="D144" s="216"/>
      <c r="E144" s="216"/>
      <c r="F144" s="216"/>
      <c r="G144" s="217"/>
      <c r="H144" s="218"/>
      <c r="I144" s="218" t="s">
        <v>1517</v>
      </c>
      <c r="J144" s="218"/>
    </row>
    <row r="145" spans="1:10" ht="15.75" customHeight="1" x14ac:dyDescent="0.45">
      <c r="A145" s="226"/>
      <c r="B145" s="226"/>
      <c r="C145" s="216"/>
      <c r="D145" s="216"/>
      <c r="E145" s="216"/>
      <c r="F145" s="216"/>
      <c r="G145" s="217"/>
      <c r="H145" s="218"/>
      <c r="I145" s="218" t="s">
        <v>1517</v>
      </c>
      <c r="J145" s="218"/>
    </row>
    <row r="146" spans="1:10" ht="15.75" customHeight="1" x14ac:dyDescent="0.45">
      <c r="A146" s="226"/>
      <c r="B146" s="226"/>
      <c r="C146" s="216"/>
      <c r="D146" s="216"/>
      <c r="E146" s="216"/>
      <c r="F146" s="216"/>
      <c r="G146" s="217"/>
      <c r="H146" s="218"/>
      <c r="I146" s="218" t="s">
        <v>1517</v>
      </c>
      <c r="J146" s="218"/>
    </row>
    <row r="147" spans="1:10" ht="15.75" customHeight="1" x14ac:dyDescent="0.45">
      <c r="A147" s="226"/>
      <c r="B147" s="226"/>
      <c r="C147" s="216"/>
      <c r="D147" s="216"/>
      <c r="E147" s="216"/>
      <c r="F147" s="216"/>
      <c r="G147" s="217"/>
      <c r="H147" s="218"/>
      <c r="I147" s="218" t="s">
        <v>1517</v>
      </c>
      <c r="J147" s="218"/>
    </row>
    <row r="148" spans="1:10" ht="15.75" customHeight="1" x14ac:dyDescent="0.45">
      <c r="A148" s="226"/>
      <c r="B148" s="226"/>
      <c r="C148" s="216"/>
      <c r="D148" s="216"/>
      <c r="E148" s="216"/>
      <c r="F148" s="216"/>
      <c r="G148" s="217"/>
      <c r="H148" s="218"/>
      <c r="I148" s="218" t="s">
        <v>1517</v>
      </c>
      <c r="J148" s="218"/>
    </row>
    <row r="149" spans="1:10" ht="15.75" customHeight="1" x14ac:dyDescent="0.45">
      <c r="A149" s="226"/>
      <c r="B149" s="226"/>
      <c r="C149" s="216"/>
      <c r="D149" s="216"/>
      <c r="E149" s="216"/>
      <c r="F149" s="216"/>
      <c r="G149" s="217"/>
      <c r="H149" s="218"/>
      <c r="I149" s="218" t="s">
        <v>1517</v>
      </c>
      <c r="J149" s="218"/>
    </row>
    <row r="150" spans="1:10" ht="15.75" customHeight="1" x14ac:dyDescent="0.45">
      <c r="A150" s="226"/>
      <c r="B150" s="226"/>
      <c r="C150" s="216"/>
      <c r="D150" s="216"/>
      <c r="E150" s="216"/>
      <c r="F150" s="216"/>
      <c r="G150" s="217"/>
      <c r="H150" s="218"/>
      <c r="I150" s="218" t="s">
        <v>1517</v>
      </c>
      <c r="J150" s="218"/>
    </row>
    <row r="151" spans="1:10" ht="15.75" customHeight="1" x14ac:dyDescent="0.45">
      <c r="A151" s="226"/>
      <c r="B151" s="226"/>
      <c r="C151" s="216"/>
      <c r="D151" s="216"/>
      <c r="E151" s="216"/>
      <c r="F151" s="216"/>
      <c r="G151" s="217"/>
      <c r="H151" s="218"/>
      <c r="I151" s="218" t="s">
        <v>1517</v>
      </c>
      <c r="J151" s="218"/>
    </row>
    <row r="152" spans="1:10" ht="15.75" customHeight="1" x14ac:dyDescent="0.45">
      <c r="A152" s="226"/>
      <c r="B152" s="226"/>
      <c r="C152" s="216"/>
      <c r="D152" s="216"/>
      <c r="E152" s="216"/>
      <c r="F152" s="216"/>
      <c r="G152" s="217"/>
      <c r="H152" s="218"/>
      <c r="I152" s="218" t="s">
        <v>1517</v>
      </c>
      <c r="J152" s="218"/>
    </row>
    <row r="153" spans="1:10" ht="15.75" customHeight="1" x14ac:dyDescent="0.45">
      <c r="A153" s="226"/>
      <c r="B153" s="226"/>
      <c r="C153" s="216"/>
      <c r="D153" s="216"/>
      <c r="E153" s="216"/>
      <c r="F153" s="216"/>
      <c r="G153" s="217"/>
      <c r="H153" s="218"/>
      <c r="I153" s="218" t="s">
        <v>1517</v>
      </c>
      <c r="J153" s="218"/>
    </row>
    <row r="154" spans="1:10" ht="15.75" customHeight="1" x14ac:dyDescent="0.45">
      <c r="A154" s="226"/>
      <c r="B154" s="226"/>
      <c r="C154" s="216"/>
      <c r="D154" s="216"/>
      <c r="E154" s="216"/>
      <c r="F154" s="216"/>
      <c r="G154" s="217"/>
      <c r="H154" s="218"/>
      <c r="I154" s="218" t="s">
        <v>1517</v>
      </c>
      <c r="J154" s="218"/>
    </row>
    <row r="155" spans="1:10" ht="15.75" customHeight="1" x14ac:dyDescent="0.45">
      <c r="A155" s="226"/>
      <c r="B155" s="226"/>
      <c r="C155" s="216"/>
      <c r="D155" s="216"/>
      <c r="E155" s="216"/>
      <c r="F155" s="216"/>
      <c r="G155" s="217"/>
      <c r="H155" s="218"/>
      <c r="I155" s="218" t="s">
        <v>1517</v>
      </c>
      <c r="J155" s="218"/>
    </row>
    <row r="156" spans="1:10" ht="15.75" customHeight="1" x14ac:dyDescent="0.45">
      <c r="A156" s="226"/>
      <c r="B156" s="226"/>
      <c r="C156" s="216"/>
      <c r="D156" s="216"/>
      <c r="E156" s="216"/>
      <c r="F156" s="216"/>
      <c r="G156" s="217"/>
      <c r="H156" s="218"/>
      <c r="I156" s="218" t="s">
        <v>1517</v>
      </c>
      <c r="J156" s="218"/>
    </row>
    <row r="157" spans="1:10" ht="15.75" customHeight="1" x14ac:dyDescent="0.45">
      <c r="A157" s="226"/>
      <c r="B157" s="226"/>
      <c r="C157" s="216"/>
      <c r="D157" s="216"/>
      <c r="E157" s="216"/>
      <c r="F157" s="216"/>
      <c r="G157" s="217"/>
      <c r="H157" s="218"/>
      <c r="I157" s="218" t="s">
        <v>1517</v>
      </c>
      <c r="J157" s="218"/>
    </row>
    <row r="158" spans="1:10" ht="15.75" customHeight="1" x14ac:dyDescent="0.45">
      <c r="A158" s="226"/>
      <c r="B158" s="226"/>
      <c r="C158" s="216"/>
      <c r="D158" s="216"/>
      <c r="E158" s="216"/>
      <c r="F158" s="216"/>
      <c r="G158" s="217"/>
      <c r="H158" s="218"/>
      <c r="I158" s="218" t="s">
        <v>1517</v>
      </c>
      <c r="J158" s="218"/>
    </row>
    <row r="159" spans="1:10" ht="15.75" customHeight="1" x14ac:dyDescent="0.45">
      <c r="A159" s="226"/>
      <c r="B159" s="226"/>
      <c r="C159" s="216"/>
      <c r="D159" s="216"/>
      <c r="E159" s="216"/>
      <c r="F159" s="216"/>
      <c r="G159" s="217"/>
      <c r="H159" s="218"/>
      <c r="I159" s="218" t="s">
        <v>1517</v>
      </c>
      <c r="J159" s="218"/>
    </row>
    <row r="160" spans="1:10" ht="15.75" customHeight="1" x14ac:dyDescent="0.45">
      <c r="A160" s="226"/>
      <c r="B160" s="226"/>
      <c r="C160" s="216"/>
      <c r="D160" s="216"/>
      <c r="E160" s="216"/>
      <c r="F160" s="216"/>
      <c r="G160" s="217"/>
      <c r="H160" s="218"/>
      <c r="I160" s="218" t="s">
        <v>1517</v>
      </c>
      <c r="J160" s="218"/>
    </row>
    <row r="161" spans="1:10" ht="15.75" customHeight="1" x14ac:dyDescent="0.45">
      <c r="A161" s="226"/>
      <c r="B161" s="226"/>
      <c r="C161" s="216"/>
      <c r="D161" s="216"/>
      <c r="E161" s="216"/>
      <c r="F161" s="216"/>
      <c r="G161" s="217"/>
      <c r="H161" s="218"/>
      <c r="I161" s="218" t="s">
        <v>1517</v>
      </c>
      <c r="J161" s="218"/>
    </row>
    <row r="162" spans="1:10" ht="15.75" customHeight="1" x14ac:dyDescent="0.45">
      <c r="A162" s="226"/>
      <c r="B162" s="226"/>
      <c r="C162" s="216"/>
      <c r="D162" s="216"/>
      <c r="E162" s="216"/>
      <c r="F162" s="216"/>
      <c r="G162" s="217"/>
      <c r="H162" s="218"/>
      <c r="I162" s="218" t="s">
        <v>1517</v>
      </c>
      <c r="J162" s="218"/>
    </row>
    <row r="163" spans="1:10" ht="15.75" customHeight="1" x14ac:dyDescent="0.45">
      <c r="A163" s="226"/>
      <c r="B163" s="226"/>
      <c r="C163" s="216"/>
      <c r="D163" s="216"/>
      <c r="E163" s="216"/>
      <c r="F163" s="216"/>
      <c r="G163" s="217"/>
      <c r="H163" s="218"/>
      <c r="I163" s="218" t="s">
        <v>1517</v>
      </c>
      <c r="J163" s="218"/>
    </row>
    <row r="164" spans="1:10" ht="15.75" customHeight="1" x14ac:dyDescent="0.45">
      <c r="A164" s="226"/>
      <c r="B164" s="226"/>
      <c r="C164" s="216"/>
      <c r="D164" s="216"/>
      <c r="E164" s="216"/>
      <c r="F164" s="216"/>
      <c r="G164" s="217"/>
      <c r="H164" s="218"/>
      <c r="I164" s="218" t="s">
        <v>1517</v>
      </c>
      <c r="J164" s="218"/>
    </row>
    <row r="165" spans="1:10" ht="15.75" customHeight="1" x14ac:dyDescent="0.45">
      <c r="A165" s="226"/>
      <c r="B165" s="226"/>
      <c r="C165" s="216"/>
      <c r="D165" s="216"/>
      <c r="E165" s="216"/>
      <c r="F165" s="216"/>
      <c r="G165" s="217"/>
      <c r="H165" s="218"/>
      <c r="I165" s="218" t="s">
        <v>1517</v>
      </c>
      <c r="J165" s="218"/>
    </row>
    <row r="166" spans="1:10" ht="15.75" customHeight="1" x14ac:dyDescent="0.45">
      <c r="A166" s="226"/>
      <c r="B166" s="226"/>
      <c r="C166" s="216"/>
      <c r="D166" s="216"/>
      <c r="E166" s="216"/>
      <c r="F166" s="216"/>
      <c r="G166" s="217"/>
      <c r="H166" s="218"/>
      <c r="I166" s="218" t="s">
        <v>1517</v>
      </c>
      <c r="J166" s="218"/>
    </row>
    <row r="167" spans="1:10" ht="15.75" customHeight="1" x14ac:dyDescent="0.45">
      <c r="A167" s="226"/>
      <c r="B167" s="226"/>
      <c r="C167" s="216"/>
      <c r="D167" s="216"/>
      <c r="E167" s="216"/>
      <c r="F167" s="216"/>
      <c r="G167" s="217"/>
      <c r="H167" s="218"/>
      <c r="I167" s="218" t="s">
        <v>1517</v>
      </c>
      <c r="J167" s="218"/>
    </row>
    <row r="168" spans="1:10" ht="15.75" customHeight="1" x14ac:dyDescent="0.45">
      <c r="A168" s="226"/>
      <c r="B168" s="226"/>
      <c r="C168" s="216"/>
      <c r="D168" s="216"/>
      <c r="E168" s="216"/>
      <c r="F168" s="216"/>
      <c r="G168" s="217"/>
      <c r="H168" s="218"/>
      <c r="I168" s="218" t="s">
        <v>1517</v>
      </c>
      <c r="J168" s="218"/>
    </row>
    <row r="169" spans="1:10" ht="15.75" customHeight="1" x14ac:dyDescent="0.45">
      <c r="A169" s="226"/>
      <c r="B169" s="226"/>
      <c r="C169" s="216"/>
      <c r="D169" s="216"/>
      <c r="E169" s="216"/>
      <c r="F169" s="216"/>
      <c r="G169" s="217"/>
      <c r="H169" s="218"/>
      <c r="I169" s="218" t="s">
        <v>1517</v>
      </c>
      <c r="J169" s="218"/>
    </row>
    <row r="170" spans="1:10" ht="15.75" customHeight="1" x14ac:dyDescent="0.45">
      <c r="A170" s="226"/>
      <c r="B170" s="226"/>
      <c r="C170" s="216"/>
      <c r="D170" s="216"/>
      <c r="E170" s="216"/>
      <c r="F170" s="216"/>
      <c r="G170" s="217"/>
      <c r="H170" s="218"/>
      <c r="I170" s="218" t="s">
        <v>1517</v>
      </c>
      <c r="J170" s="218"/>
    </row>
    <row r="171" spans="1:10" ht="15.75" customHeight="1" x14ac:dyDescent="0.45">
      <c r="A171" s="226"/>
      <c r="B171" s="226"/>
      <c r="C171" s="216"/>
      <c r="D171" s="216"/>
      <c r="E171" s="216"/>
      <c r="F171" s="216"/>
      <c r="G171" s="217"/>
      <c r="H171" s="218"/>
      <c r="I171" s="218" t="s">
        <v>1517</v>
      </c>
      <c r="J171" s="218"/>
    </row>
    <row r="172" spans="1:10" ht="15.75" customHeight="1" x14ac:dyDescent="0.45">
      <c r="A172" s="226"/>
      <c r="B172" s="226"/>
      <c r="C172" s="216"/>
      <c r="D172" s="216"/>
      <c r="E172" s="216"/>
      <c r="F172" s="216"/>
      <c r="G172" s="217"/>
      <c r="H172" s="218"/>
      <c r="I172" s="218" t="s">
        <v>1517</v>
      </c>
      <c r="J172" s="218"/>
    </row>
    <row r="173" spans="1:10" ht="15.75" customHeight="1" x14ac:dyDescent="0.45">
      <c r="A173" s="226"/>
      <c r="B173" s="226"/>
      <c r="C173" s="216"/>
      <c r="D173" s="216"/>
      <c r="E173" s="216"/>
      <c r="F173" s="216"/>
      <c r="G173" s="217"/>
      <c r="H173" s="218"/>
      <c r="I173" s="218" t="s">
        <v>1517</v>
      </c>
      <c r="J173" s="218"/>
    </row>
    <row r="174" spans="1:10" ht="15.75" customHeight="1" x14ac:dyDescent="0.45">
      <c r="A174" s="226"/>
      <c r="B174" s="226"/>
      <c r="C174" s="216"/>
      <c r="D174" s="216"/>
      <c r="E174" s="216"/>
      <c r="F174" s="216"/>
      <c r="G174" s="217"/>
      <c r="H174" s="218"/>
      <c r="I174" s="218" t="s">
        <v>1517</v>
      </c>
      <c r="J174" s="218"/>
    </row>
    <row r="175" spans="1:10" ht="15.75" customHeight="1" x14ac:dyDescent="0.45">
      <c r="A175" s="226"/>
      <c r="B175" s="226"/>
      <c r="C175" s="216"/>
      <c r="D175" s="216"/>
      <c r="E175" s="216"/>
      <c r="F175" s="216"/>
      <c r="G175" s="217"/>
      <c r="H175" s="218"/>
      <c r="I175" s="218" t="s">
        <v>1517</v>
      </c>
      <c r="J175" s="218"/>
    </row>
    <row r="176" spans="1:10" ht="15.75" customHeight="1" x14ac:dyDescent="0.45">
      <c r="A176" s="226"/>
      <c r="B176" s="226"/>
      <c r="C176" s="216"/>
      <c r="D176" s="216"/>
      <c r="E176" s="216"/>
      <c r="F176" s="216"/>
      <c r="G176" s="217"/>
      <c r="H176" s="218"/>
      <c r="I176" s="218" t="s">
        <v>1517</v>
      </c>
      <c r="J176" s="218"/>
    </row>
    <row r="177" spans="1:10" ht="15.75" customHeight="1" x14ac:dyDescent="0.45">
      <c r="A177" s="226"/>
      <c r="B177" s="226"/>
      <c r="C177" s="216"/>
      <c r="D177" s="216"/>
      <c r="E177" s="216"/>
      <c r="F177" s="216"/>
      <c r="G177" s="217"/>
      <c r="H177" s="218"/>
      <c r="I177" s="218" t="s">
        <v>1517</v>
      </c>
      <c r="J177" s="218"/>
    </row>
    <row r="178" spans="1:10" ht="15.75" customHeight="1" x14ac:dyDescent="0.45">
      <c r="A178" s="226"/>
      <c r="B178" s="226"/>
      <c r="C178" s="216"/>
      <c r="D178" s="216"/>
      <c r="E178" s="216"/>
      <c r="F178" s="216"/>
      <c r="G178" s="217"/>
      <c r="H178" s="218"/>
      <c r="I178" s="218" t="s">
        <v>1517</v>
      </c>
      <c r="J178" s="218"/>
    </row>
    <row r="179" spans="1:10" ht="15.75" customHeight="1" x14ac:dyDescent="0.45">
      <c r="A179" s="226"/>
      <c r="B179" s="226"/>
      <c r="C179" s="216"/>
      <c r="D179" s="216"/>
      <c r="E179" s="216"/>
      <c r="F179" s="216"/>
      <c r="G179" s="217"/>
      <c r="H179" s="218"/>
      <c r="I179" s="218" t="s">
        <v>1517</v>
      </c>
      <c r="J179" s="218"/>
    </row>
    <row r="180" spans="1:10" ht="15.75" customHeight="1" x14ac:dyDescent="0.45">
      <c r="A180" s="226"/>
      <c r="B180" s="226"/>
      <c r="C180" s="216"/>
      <c r="D180" s="216"/>
      <c r="E180" s="216"/>
      <c r="F180" s="216"/>
      <c r="G180" s="217"/>
      <c r="H180" s="218"/>
      <c r="I180" s="218" t="s">
        <v>1517</v>
      </c>
      <c r="J180" s="218"/>
    </row>
    <row r="181" spans="1:10" ht="15.75" customHeight="1" x14ac:dyDescent="0.45">
      <c r="A181" s="226"/>
      <c r="B181" s="226"/>
      <c r="C181" s="216"/>
      <c r="D181" s="216"/>
      <c r="E181" s="216"/>
      <c r="F181" s="216"/>
      <c r="G181" s="217"/>
      <c r="H181" s="218"/>
      <c r="I181" s="218" t="s">
        <v>1517</v>
      </c>
      <c r="J181" s="218"/>
    </row>
    <row r="182" spans="1:10" ht="15.75" customHeight="1" x14ac:dyDescent="0.45">
      <c r="A182" s="226"/>
      <c r="B182" s="226"/>
      <c r="C182" s="216"/>
      <c r="D182" s="216"/>
      <c r="E182" s="216"/>
      <c r="F182" s="216"/>
      <c r="G182" s="217"/>
      <c r="H182" s="218"/>
      <c r="I182" s="218" t="s">
        <v>1517</v>
      </c>
      <c r="J182" s="218"/>
    </row>
    <row r="183" spans="1:10" ht="15.75" customHeight="1" x14ac:dyDescent="0.45">
      <c r="A183" s="226"/>
      <c r="B183" s="226"/>
      <c r="C183" s="216"/>
      <c r="D183" s="216"/>
      <c r="E183" s="216"/>
      <c r="F183" s="216"/>
      <c r="G183" s="217"/>
      <c r="H183" s="218"/>
      <c r="I183" s="218" t="s">
        <v>1517</v>
      </c>
      <c r="J183" s="218"/>
    </row>
    <row r="184" spans="1:10" ht="15.75" customHeight="1" x14ac:dyDescent="0.45">
      <c r="A184" s="226"/>
      <c r="B184" s="226"/>
      <c r="C184" s="216"/>
      <c r="D184" s="216"/>
      <c r="E184" s="216"/>
      <c r="F184" s="216"/>
      <c r="G184" s="217"/>
      <c r="H184" s="218"/>
      <c r="I184" s="218" t="s">
        <v>1517</v>
      </c>
      <c r="J184" s="218"/>
    </row>
    <row r="185" spans="1:10" ht="15.75" customHeight="1" x14ac:dyDescent="0.45">
      <c r="A185" s="226"/>
      <c r="B185" s="226"/>
      <c r="C185" s="216"/>
      <c r="D185" s="216"/>
      <c r="E185" s="216"/>
      <c r="F185" s="216"/>
      <c r="G185" s="217"/>
      <c r="H185" s="218"/>
      <c r="I185" s="218" t="s">
        <v>1517</v>
      </c>
      <c r="J185" s="218"/>
    </row>
    <row r="186" spans="1:10" ht="15.75" customHeight="1" x14ac:dyDescent="0.45">
      <c r="A186" s="226"/>
      <c r="B186" s="226"/>
      <c r="C186" s="216"/>
      <c r="D186" s="216"/>
      <c r="E186" s="216"/>
      <c r="F186" s="216"/>
      <c r="G186" s="217"/>
      <c r="H186" s="218"/>
      <c r="I186" s="218" t="s">
        <v>1517</v>
      </c>
      <c r="J186" s="218"/>
    </row>
    <row r="187" spans="1:10" ht="15.75" customHeight="1" x14ac:dyDescent="0.45">
      <c r="A187" s="226"/>
      <c r="B187" s="226"/>
      <c r="C187" s="216"/>
      <c r="D187" s="216"/>
      <c r="E187" s="216"/>
      <c r="F187" s="216"/>
      <c r="G187" s="217"/>
      <c r="H187" s="218"/>
      <c r="I187" s="218" t="s">
        <v>1517</v>
      </c>
      <c r="J187" s="218"/>
    </row>
    <row r="188" spans="1:10" ht="15.75" customHeight="1" x14ac:dyDescent="0.45">
      <c r="A188" s="226"/>
      <c r="B188" s="226"/>
      <c r="C188" s="216"/>
      <c r="D188" s="216"/>
      <c r="E188" s="216"/>
      <c r="F188" s="216"/>
      <c r="G188" s="217"/>
      <c r="H188" s="218"/>
      <c r="I188" s="218" t="s">
        <v>1517</v>
      </c>
      <c r="J188" s="218"/>
    </row>
    <row r="189" spans="1:10" ht="15.75" customHeight="1" x14ac:dyDescent="0.45">
      <c r="A189" s="226"/>
      <c r="B189" s="226"/>
      <c r="C189" s="216"/>
      <c r="D189" s="216"/>
      <c r="E189" s="216"/>
      <c r="F189" s="216"/>
      <c r="G189" s="217"/>
      <c r="H189" s="218"/>
      <c r="I189" s="218" t="s">
        <v>1517</v>
      </c>
      <c r="J189" s="218"/>
    </row>
    <row r="190" spans="1:10" ht="15.75" customHeight="1" x14ac:dyDescent="0.45">
      <c r="A190" s="226"/>
      <c r="B190" s="226"/>
      <c r="C190" s="216"/>
      <c r="D190" s="216"/>
      <c r="E190" s="216"/>
      <c r="F190" s="216"/>
      <c r="G190" s="217"/>
      <c r="H190" s="218"/>
      <c r="I190" s="218" t="s">
        <v>1517</v>
      </c>
      <c r="J190" s="218"/>
    </row>
    <row r="191" spans="1:10" ht="15.75" customHeight="1" x14ac:dyDescent="0.45">
      <c r="A191" s="226"/>
      <c r="B191" s="226"/>
      <c r="C191" s="216"/>
      <c r="D191" s="216"/>
      <c r="E191" s="216"/>
      <c r="F191" s="216"/>
      <c r="G191" s="217"/>
      <c r="H191" s="218"/>
      <c r="I191" s="218" t="s">
        <v>1517</v>
      </c>
      <c r="J191" s="218"/>
    </row>
    <row r="192" spans="1:10" ht="15.75" customHeight="1" x14ac:dyDescent="0.45">
      <c r="A192" s="226"/>
      <c r="B192" s="226"/>
      <c r="C192" s="216"/>
      <c r="D192" s="216"/>
      <c r="E192" s="216"/>
      <c r="F192" s="216"/>
      <c r="G192" s="217"/>
      <c r="H192" s="218"/>
      <c r="I192" s="218" t="s">
        <v>1517</v>
      </c>
      <c r="J192" s="218"/>
    </row>
    <row r="193" spans="1:10" ht="15.75" customHeight="1" x14ac:dyDescent="0.45">
      <c r="A193" s="226"/>
      <c r="B193" s="226"/>
      <c r="C193" s="216"/>
      <c r="D193" s="216"/>
      <c r="E193" s="216"/>
      <c r="F193" s="216"/>
      <c r="G193" s="217"/>
      <c r="H193" s="218"/>
      <c r="I193" s="218" t="s">
        <v>1517</v>
      </c>
      <c r="J193" s="218"/>
    </row>
    <row r="194" spans="1:10" ht="15.75" customHeight="1" x14ac:dyDescent="0.45">
      <c r="A194" s="226"/>
      <c r="B194" s="226"/>
      <c r="C194" s="216"/>
      <c r="D194" s="216"/>
      <c r="E194" s="216"/>
      <c r="F194" s="216"/>
      <c r="G194" s="217"/>
      <c r="H194" s="218"/>
      <c r="I194" s="218" t="s">
        <v>1517</v>
      </c>
      <c r="J194" s="218"/>
    </row>
    <row r="195" spans="1:10" ht="15.75" customHeight="1" x14ac:dyDescent="0.45">
      <c r="A195" s="226"/>
      <c r="B195" s="226"/>
      <c r="C195" s="216"/>
      <c r="D195" s="216"/>
      <c r="E195" s="216"/>
      <c r="F195" s="216"/>
      <c r="G195" s="217"/>
      <c r="H195" s="218"/>
      <c r="I195" s="218" t="s">
        <v>1517</v>
      </c>
      <c r="J195" s="218"/>
    </row>
    <row r="196" spans="1:10" ht="15.75" customHeight="1" x14ac:dyDescent="0.45">
      <c r="A196" s="226"/>
      <c r="B196" s="226"/>
      <c r="C196" s="216"/>
      <c r="D196" s="216"/>
      <c r="E196" s="216"/>
      <c r="F196" s="216"/>
      <c r="G196" s="217"/>
      <c r="H196" s="218"/>
      <c r="I196" s="218" t="s">
        <v>1517</v>
      </c>
      <c r="J196" s="218"/>
    </row>
    <row r="197" spans="1:10" ht="15.75" customHeight="1" x14ac:dyDescent="0.45">
      <c r="A197" s="226"/>
      <c r="B197" s="226"/>
      <c r="C197" s="216"/>
      <c r="D197" s="216"/>
      <c r="E197" s="216"/>
      <c r="F197" s="216"/>
      <c r="G197" s="217"/>
      <c r="H197" s="218"/>
      <c r="I197" s="218" t="s">
        <v>1517</v>
      </c>
      <c r="J197" s="218"/>
    </row>
    <row r="198" spans="1:10" ht="15.75" customHeight="1" x14ac:dyDescent="0.45">
      <c r="A198" s="226"/>
      <c r="B198" s="226"/>
      <c r="C198" s="216"/>
      <c r="D198" s="216"/>
      <c r="E198" s="216"/>
      <c r="F198" s="216"/>
      <c r="G198" s="217"/>
      <c r="H198" s="218"/>
      <c r="I198" s="218" t="s">
        <v>1517</v>
      </c>
      <c r="J198" s="218"/>
    </row>
    <row r="199" spans="1:10" ht="15.75" customHeight="1" x14ac:dyDescent="0.45">
      <c r="A199" s="226"/>
      <c r="B199" s="226"/>
      <c r="C199" s="216"/>
      <c r="D199" s="216"/>
      <c r="E199" s="216"/>
      <c r="F199" s="216"/>
      <c r="G199" s="217"/>
      <c r="H199" s="218"/>
      <c r="I199" s="218" t="s">
        <v>1517</v>
      </c>
      <c r="J199" s="218"/>
    </row>
    <row r="200" spans="1:10" ht="15.75" customHeight="1" x14ac:dyDescent="0.45">
      <c r="A200" s="226"/>
      <c r="B200" s="226"/>
      <c r="C200" s="216"/>
      <c r="D200" s="216"/>
      <c r="E200" s="216"/>
      <c r="F200" s="216"/>
      <c r="G200" s="217"/>
      <c r="H200" s="218"/>
      <c r="I200" s="218" t="s">
        <v>1517</v>
      </c>
      <c r="J200" s="218"/>
    </row>
    <row r="201" spans="1:10" ht="15.75" customHeight="1" x14ac:dyDescent="0.45">
      <c r="A201" s="226"/>
      <c r="B201" s="226"/>
      <c r="C201" s="216"/>
      <c r="D201" s="216"/>
      <c r="E201" s="216"/>
      <c r="F201" s="216"/>
      <c r="G201" s="217"/>
      <c r="H201" s="218"/>
      <c r="I201" s="218" t="s">
        <v>1517</v>
      </c>
      <c r="J201" s="218"/>
    </row>
    <row r="202" spans="1:10" ht="15.75" customHeight="1" x14ac:dyDescent="0.45">
      <c r="A202" s="226"/>
      <c r="B202" s="226"/>
      <c r="C202" s="216"/>
      <c r="D202" s="216"/>
      <c r="E202" s="216"/>
      <c r="F202" s="216"/>
      <c r="G202" s="217"/>
      <c r="H202" s="218"/>
      <c r="I202" s="218" t="s">
        <v>1517</v>
      </c>
      <c r="J202" s="218"/>
    </row>
    <row r="203" spans="1:10" ht="15.75" customHeight="1" x14ac:dyDescent="0.45">
      <c r="A203" s="226"/>
      <c r="B203" s="226"/>
      <c r="C203" s="216"/>
      <c r="D203" s="216"/>
      <c r="E203" s="216"/>
      <c r="F203" s="216"/>
      <c r="G203" s="217"/>
      <c r="H203" s="218"/>
      <c r="I203" s="218" t="s">
        <v>1517</v>
      </c>
      <c r="J203" s="218"/>
    </row>
    <row r="204" spans="1:10" ht="15.75" customHeight="1" x14ac:dyDescent="0.45">
      <c r="A204" s="226"/>
      <c r="B204" s="226"/>
      <c r="C204" s="216"/>
      <c r="D204" s="216"/>
      <c r="E204" s="216"/>
      <c r="F204" s="216"/>
      <c r="G204" s="217"/>
      <c r="H204" s="218"/>
      <c r="I204" s="218" t="s">
        <v>1517</v>
      </c>
      <c r="J204" s="218"/>
    </row>
    <row r="205" spans="1:10" ht="15.75" customHeight="1" x14ac:dyDescent="0.45">
      <c r="A205" s="226"/>
      <c r="B205" s="226"/>
      <c r="C205" s="216"/>
      <c r="D205" s="216"/>
      <c r="E205" s="216"/>
      <c r="F205" s="216"/>
      <c r="G205" s="217"/>
      <c r="H205" s="218"/>
      <c r="I205" s="218" t="s">
        <v>1517</v>
      </c>
      <c r="J205" s="218"/>
    </row>
    <row r="206" spans="1:10" ht="15.75" customHeight="1" x14ac:dyDescent="0.45">
      <c r="A206" s="226"/>
      <c r="B206" s="226"/>
      <c r="C206" s="216"/>
      <c r="D206" s="216"/>
      <c r="E206" s="216"/>
      <c r="F206" s="216"/>
      <c r="G206" s="217"/>
      <c r="H206" s="218"/>
      <c r="I206" s="218" t="s">
        <v>1517</v>
      </c>
      <c r="J206" s="218"/>
    </row>
    <row r="207" spans="1:10" ht="15.75" customHeight="1" x14ac:dyDescent="0.45">
      <c r="A207" s="226"/>
      <c r="B207" s="226"/>
      <c r="C207" s="216"/>
      <c r="D207" s="216"/>
      <c r="E207" s="216"/>
      <c r="F207" s="216"/>
      <c r="G207" s="217"/>
      <c r="H207" s="218"/>
      <c r="I207" s="218" t="s">
        <v>1517</v>
      </c>
      <c r="J207" s="218"/>
    </row>
    <row r="208" spans="1:10" ht="15.75" customHeight="1" x14ac:dyDescent="0.45">
      <c r="A208" s="226"/>
      <c r="B208" s="226"/>
      <c r="C208" s="216"/>
      <c r="D208" s="216"/>
      <c r="E208" s="216"/>
      <c r="F208" s="216"/>
      <c r="G208" s="217"/>
      <c r="H208" s="218"/>
      <c r="I208" s="218" t="s">
        <v>1517</v>
      </c>
      <c r="J208" s="218"/>
    </row>
    <row r="209" spans="1:10" ht="15.75" customHeight="1" x14ac:dyDescent="0.45">
      <c r="A209" s="226"/>
      <c r="B209" s="226"/>
      <c r="C209" s="216"/>
      <c r="D209" s="216"/>
      <c r="E209" s="216"/>
      <c r="F209" s="216"/>
      <c r="G209" s="217"/>
      <c r="H209" s="218"/>
      <c r="I209" s="218" t="s">
        <v>1517</v>
      </c>
      <c r="J209" s="218"/>
    </row>
    <row r="210" spans="1:10" ht="15.75" customHeight="1" x14ac:dyDescent="0.45">
      <c r="A210" s="226"/>
      <c r="B210" s="226"/>
      <c r="C210" s="216"/>
      <c r="D210" s="216"/>
      <c r="E210" s="216"/>
      <c r="F210" s="216"/>
      <c r="G210" s="217"/>
      <c r="H210" s="218"/>
      <c r="I210" s="218" t="s">
        <v>1517</v>
      </c>
      <c r="J210" s="218"/>
    </row>
    <row r="211" spans="1:10" ht="15.75" customHeight="1" x14ac:dyDescent="0.45">
      <c r="A211" s="226"/>
      <c r="B211" s="226"/>
      <c r="C211" s="216"/>
      <c r="D211" s="216"/>
      <c r="E211" s="216"/>
      <c r="F211" s="216"/>
      <c r="G211" s="217"/>
      <c r="H211" s="218"/>
      <c r="I211" s="218" t="s">
        <v>1517</v>
      </c>
      <c r="J211" s="218"/>
    </row>
    <row r="212" spans="1:10" ht="15.75" customHeight="1" x14ac:dyDescent="0.45">
      <c r="A212" s="226"/>
      <c r="B212" s="226"/>
      <c r="C212" s="216"/>
      <c r="D212" s="216"/>
      <c r="E212" s="216"/>
      <c r="F212" s="216"/>
      <c r="G212" s="217"/>
      <c r="H212" s="218"/>
      <c r="I212" s="218" t="s">
        <v>1517</v>
      </c>
      <c r="J212" s="218"/>
    </row>
    <row r="213" spans="1:10" ht="15.75" customHeight="1" x14ac:dyDescent="0.45">
      <c r="A213" s="226"/>
      <c r="B213" s="226"/>
      <c r="C213" s="216"/>
      <c r="D213" s="216"/>
      <c r="E213" s="216"/>
      <c r="F213" s="216"/>
      <c r="G213" s="217"/>
      <c r="H213" s="218"/>
      <c r="I213" s="218" t="s">
        <v>1517</v>
      </c>
      <c r="J213" s="218"/>
    </row>
    <row r="214" spans="1:10" ht="15.75" customHeight="1" x14ac:dyDescent="0.45">
      <c r="A214" s="226"/>
      <c r="B214" s="226"/>
      <c r="C214" s="216"/>
      <c r="D214" s="216"/>
      <c r="E214" s="216"/>
      <c r="F214" s="216"/>
      <c r="G214" s="217"/>
      <c r="H214" s="218"/>
      <c r="I214" s="218" t="s">
        <v>1517</v>
      </c>
      <c r="J214" s="218"/>
    </row>
    <row r="215" spans="1:10" ht="15.75" customHeight="1" x14ac:dyDescent="0.45">
      <c r="A215" s="226"/>
      <c r="B215" s="226"/>
      <c r="C215" s="216"/>
      <c r="D215" s="216"/>
      <c r="E215" s="216"/>
      <c r="F215" s="216"/>
      <c r="G215" s="217"/>
      <c r="H215" s="218"/>
      <c r="I215" s="218" t="s">
        <v>1517</v>
      </c>
      <c r="J215" s="218"/>
    </row>
    <row r="216" spans="1:10" ht="15.75" customHeight="1" x14ac:dyDescent="0.45">
      <c r="A216" s="226"/>
      <c r="B216" s="226"/>
      <c r="C216" s="216"/>
      <c r="D216" s="216"/>
      <c r="E216" s="216"/>
      <c r="F216" s="216"/>
      <c r="G216" s="217"/>
      <c r="H216" s="218"/>
      <c r="I216" s="218" t="s">
        <v>1517</v>
      </c>
      <c r="J216" s="218"/>
    </row>
    <row r="217" spans="1:10" ht="15.75" customHeight="1" x14ac:dyDescent="0.45">
      <c r="A217" s="226"/>
      <c r="B217" s="226"/>
      <c r="C217" s="216"/>
      <c r="D217" s="216"/>
      <c r="E217" s="216"/>
      <c r="F217" s="216"/>
      <c r="G217" s="217"/>
      <c r="H217" s="218"/>
      <c r="I217" s="218" t="s">
        <v>1517</v>
      </c>
      <c r="J217" s="218"/>
    </row>
    <row r="218" spans="1:10" ht="15.75" customHeight="1" x14ac:dyDescent="0.45">
      <c r="A218" s="226"/>
      <c r="B218" s="226"/>
      <c r="C218" s="216"/>
      <c r="D218" s="216"/>
      <c r="E218" s="216"/>
      <c r="F218" s="216"/>
      <c r="G218" s="217"/>
      <c r="H218" s="218"/>
      <c r="I218" s="218" t="s">
        <v>1517</v>
      </c>
      <c r="J218" s="218"/>
    </row>
    <row r="219" spans="1:10" ht="15.75" customHeight="1" x14ac:dyDescent="0.45">
      <c r="A219" s="226"/>
      <c r="B219" s="226"/>
      <c r="C219" s="216"/>
      <c r="D219" s="216"/>
      <c r="E219" s="216"/>
      <c r="F219" s="216"/>
      <c r="G219" s="217"/>
      <c r="H219" s="218"/>
      <c r="I219" s="218" t="s">
        <v>1517</v>
      </c>
      <c r="J219" s="218"/>
    </row>
    <row r="220" spans="1:10" ht="15.75" customHeight="1" x14ac:dyDescent="0.45">
      <c r="A220" s="226"/>
      <c r="B220" s="226"/>
      <c r="C220" s="216"/>
      <c r="D220" s="216"/>
      <c r="E220" s="216"/>
      <c r="F220" s="216"/>
      <c r="G220" s="217"/>
      <c r="H220" s="218"/>
      <c r="I220" s="218" t="s">
        <v>1517</v>
      </c>
      <c r="J220" s="218"/>
    </row>
    <row r="221" spans="1:10" ht="15.75" customHeight="1" x14ac:dyDescent="0.45">
      <c r="A221" s="226"/>
      <c r="B221" s="226"/>
      <c r="C221" s="216"/>
      <c r="D221" s="216"/>
      <c r="E221" s="216"/>
      <c r="F221" s="216"/>
      <c r="G221" s="217"/>
      <c r="H221" s="218"/>
      <c r="I221" s="218" t="s">
        <v>1517</v>
      </c>
      <c r="J221" s="218"/>
    </row>
    <row r="222" spans="1:10" ht="15.75" customHeight="1" x14ac:dyDescent="0.45">
      <c r="A222" s="226"/>
      <c r="B222" s="226"/>
      <c r="C222" s="216"/>
      <c r="D222" s="216"/>
      <c r="E222" s="216"/>
      <c r="F222" s="216"/>
      <c r="G222" s="217"/>
      <c r="H222" s="218"/>
      <c r="I222" s="218" t="s">
        <v>1517</v>
      </c>
      <c r="J222" s="218"/>
    </row>
    <row r="223" spans="1:10" ht="15.75" customHeight="1" x14ac:dyDescent="0.45">
      <c r="A223" s="226"/>
      <c r="B223" s="226"/>
      <c r="C223" s="216"/>
      <c r="D223" s="216"/>
      <c r="E223" s="216"/>
      <c r="F223" s="216"/>
      <c r="G223" s="217"/>
      <c r="H223" s="218"/>
      <c r="I223" s="218" t="s">
        <v>1517</v>
      </c>
      <c r="J223" s="218"/>
    </row>
    <row r="224" spans="1:10" ht="15.75" customHeight="1" x14ac:dyDescent="0.45">
      <c r="A224" s="226"/>
      <c r="B224" s="226"/>
      <c r="C224" s="216"/>
      <c r="D224" s="216"/>
      <c r="E224" s="216"/>
      <c r="F224" s="216"/>
      <c r="G224" s="217"/>
      <c r="H224" s="218"/>
      <c r="I224" s="218" t="s">
        <v>1517</v>
      </c>
      <c r="J224" s="218"/>
    </row>
    <row r="225" spans="1:10" ht="15.75" customHeight="1" x14ac:dyDescent="0.45">
      <c r="A225" s="226"/>
      <c r="B225" s="226"/>
      <c r="C225" s="216"/>
      <c r="D225" s="216"/>
      <c r="E225" s="216"/>
      <c r="F225" s="216"/>
      <c r="G225" s="217"/>
      <c r="H225" s="218"/>
      <c r="I225" s="218" t="s">
        <v>1517</v>
      </c>
      <c r="J225" s="218"/>
    </row>
    <row r="226" spans="1:10" ht="15.75" customHeight="1" x14ac:dyDescent="0.45">
      <c r="A226" s="226"/>
      <c r="B226" s="226"/>
      <c r="C226" s="216"/>
      <c r="D226" s="216"/>
      <c r="E226" s="216"/>
      <c r="F226" s="216"/>
      <c r="G226" s="217"/>
      <c r="H226" s="218"/>
      <c r="I226" s="218" t="s">
        <v>1517</v>
      </c>
      <c r="J226" s="218"/>
    </row>
    <row r="227" spans="1:10" ht="15.75" customHeight="1" x14ac:dyDescent="0.45">
      <c r="A227" s="226"/>
      <c r="B227" s="226"/>
      <c r="C227" s="216"/>
      <c r="D227" s="216"/>
      <c r="E227" s="216"/>
      <c r="F227" s="216"/>
      <c r="G227" s="217"/>
      <c r="H227" s="218"/>
      <c r="I227" s="218" t="s">
        <v>1517</v>
      </c>
      <c r="J227" s="218"/>
    </row>
    <row r="228" spans="1:10" ht="15.75" customHeight="1" x14ac:dyDescent="0.45">
      <c r="A228" s="226"/>
      <c r="B228" s="226"/>
      <c r="C228" s="216"/>
      <c r="D228" s="216"/>
      <c r="E228" s="216"/>
      <c r="F228" s="216"/>
      <c r="G228" s="217"/>
      <c r="H228" s="218"/>
      <c r="I228" s="218" t="s">
        <v>1517</v>
      </c>
      <c r="J228" s="218"/>
    </row>
    <row r="229" spans="1:10" ht="15.75" customHeight="1" x14ac:dyDescent="0.45">
      <c r="A229" s="226"/>
      <c r="B229" s="226"/>
      <c r="C229" s="216"/>
      <c r="D229" s="216"/>
      <c r="E229" s="216"/>
      <c r="F229" s="216"/>
      <c r="G229" s="217"/>
      <c r="H229" s="218"/>
      <c r="I229" s="218" t="s">
        <v>1517</v>
      </c>
      <c r="J229" s="218"/>
    </row>
    <row r="230" spans="1:10" ht="15.75" customHeight="1" x14ac:dyDescent="0.45">
      <c r="A230" s="226"/>
      <c r="B230" s="226"/>
      <c r="C230" s="216"/>
      <c r="D230" s="216"/>
      <c r="E230" s="216"/>
      <c r="F230" s="216"/>
      <c r="G230" s="217"/>
      <c r="H230" s="218"/>
      <c r="I230" s="218" t="s">
        <v>1517</v>
      </c>
      <c r="J230" s="218"/>
    </row>
    <row r="231" spans="1:10" ht="15.75" customHeight="1" x14ac:dyDescent="0.45">
      <c r="A231" s="226"/>
      <c r="B231" s="226"/>
      <c r="C231" s="216"/>
      <c r="D231" s="216"/>
      <c r="E231" s="216"/>
      <c r="F231" s="216"/>
      <c r="G231" s="217"/>
      <c r="H231" s="218"/>
      <c r="I231" s="218" t="s">
        <v>1517</v>
      </c>
      <c r="J231" s="218"/>
    </row>
    <row r="232" spans="1:10" ht="15.75" customHeight="1" x14ac:dyDescent="0.45">
      <c r="A232" s="226"/>
      <c r="B232" s="226"/>
      <c r="C232" s="216"/>
      <c r="D232" s="216"/>
      <c r="E232" s="216"/>
      <c r="F232" s="216"/>
      <c r="G232" s="217"/>
      <c r="H232" s="218"/>
      <c r="I232" s="218" t="s">
        <v>1517</v>
      </c>
      <c r="J232" s="218"/>
    </row>
    <row r="233" spans="1:10" ht="15.75" customHeight="1" x14ac:dyDescent="0.45">
      <c r="A233" s="226"/>
      <c r="B233" s="226"/>
      <c r="C233" s="216"/>
      <c r="D233" s="216"/>
      <c r="E233" s="216"/>
      <c r="F233" s="216"/>
      <c r="G233" s="217"/>
      <c r="H233" s="218"/>
      <c r="I233" s="218" t="s">
        <v>1517</v>
      </c>
      <c r="J233" s="218"/>
    </row>
    <row r="234" spans="1:10" ht="15.75" customHeight="1" x14ac:dyDescent="0.45">
      <c r="A234" s="226"/>
      <c r="B234" s="226"/>
      <c r="C234" s="216"/>
      <c r="D234" s="216"/>
      <c r="E234" s="216"/>
      <c r="F234" s="216"/>
      <c r="G234" s="217"/>
      <c r="H234" s="218"/>
      <c r="I234" s="218" t="s">
        <v>1517</v>
      </c>
      <c r="J234" s="218"/>
    </row>
    <row r="235" spans="1:10" ht="15.75" customHeight="1" x14ac:dyDescent="0.45">
      <c r="A235" s="226"/>
      <c r="B235" s="226"/>
      <c r="C235" s="216"/>
      <c r="D235" s="216"/>
      <c r="E235" s="216"/>
      <c r="F235" s="216"/>
      <c r="G235" s="217"/>
      <c r="H235" s="218"/>
      <c r="I235" s="218" t="s">
        <v>1517</v>
      </c>
      <c r="J235" s="218"/>
    </row>
    <row r="236" spans="1:10" ht="15.75" customHeight="1" x14ac:dyDescent="0.45">
      <c r="A236" s="226"/>
      <c r="B236" s="226"/>
      <c r="C236" s="216"/>
      <c r="D236" s="216"/>
      <c r="E236" s="216"/>
      <c r="F236" s="216"/>
      <c r="G236" s="217"/>
      <c r="H236" s="218"/>
      <c r="I236" s="218" t="s">
        <v>1517</v>
      </c>
      <c r="J236" s="218"/>
    </row>
    <row r="237" spans="1:10" ht="15.75" customHeight="1" x14ac:dyDescent="0.45">
      <c r="A237" s="226"/>
      <c r="B237" s="226"/>
      <c r="C237" s="216"/>
      <c r="D237" s="216"/>
      <c r="E237" s="216"/>
      <c r="F237" s="216"/>
      <c r="G237" s="217"/>
      <c r="H237" s="218"/>
      <c r="I237" s="218" t="s">
        <v>1517</v>
      </c>
      <c r="J237" s="218"/>
    </row>
    <row r="238" spans="1:10" ht="15.75" customHeight="1" x14ac:dyDescent="0.45">
      <c r="A238" s="226"/>
      <c r="B238" s="226"/>
      <c r="C238" s="216"/>
      <c r="D238" s="216"/>
      <c r="E238" s="216"/>
      <c r="F238" s="216"/>
      <c r="G238" s="217"/>
      <c r="H238" s="218"/>
      <c r="I238" s="218" t="s">
        <v>1517</v>
      </c>
      <c r="J238" s="218"/>
    </row>
    <row r="239" spans="1:10" ht="15.75" customHeight="1" x14ac:dyDescent="0.45">
      <c r="A239" s="226"/>
      <c r="B239" s="226"/>
      <c r="C239" s="216"/>
      <c r="D239" s="216"/>
      <c r="E239" s="216"/>
      <c r="F239" s="216"/>
      <c r="G239" s="217"/>
      <c r="H239" s="218"/>
      <c r="I239" s="218" t="s">
        <v>1517</v>
      </c>
      <c r="J239" s="218"/>
    </row>
    <row r="240" spans="1:10" ht="15.75" customHeight="1" x14ac:dyDescent="0.45">
      <c r="A240" s="226"/>
      <c r="B240" s="226"/>
      <c r="C240" s="216"/>
      <c r="D240" s="216"/>
      <c r="E240" s="216"/>
      <c r="F240" s="216"/>
      <c r="G240" s="217"/>
      <c r="H240" s="218"/>
      <c r="I240" s="218" t="s">
        <v>1517</v>
      </c>
      <c r="J240" s="218"/>
    </row>
    <row r="241" spans="1:10" ht="15.75" customHeight="1" x14ac:dyDescent="0.45">
      <c r="A241" s="226"/>
      <c r="B241" s="226"/>
      <c r="C241" s="216"/>
      <c r="D241" s="216"/>
      <c r="E241" s="216"/>
      <c r="F241" s="216"/>
      <c r="G241" s="217"/>
      <c r="H241" s="218"/>
      <c r="I241" s="218" t="s">
        <v>1517</v>
      </c>
      <c r="J241" s="218"/>
    </row>
    <row r="242" spans="1:10" ht="15.75" customHeight="1" x14ac:dyDescent="0.45">
      <c r="A242" s="226"/>
      <c r="B242" s="226"/>
      <c r="C242" s="216"/>
      <c r="D242" s="216"/>
      <c r="E242" s="216"/>
      <c r="F242" s="216"/>
      <c r="G242" s="217"/>
      <c r="H242" s="218"/>
      <c r="I242" s="218" t="s">
        <v>1517</v>
      </c>
      <c r="J242" s="218"/>
    </row>
    <row r="243" spans="1:10" ht="15.75" customHeight="1" x14ac:dyDescent="0.45">
      <c r="A243" s="226"/>
      <c r="B243" s="226"/>
      <c r="C243" s="216"/>
      <c r="D243" s="216"/>
      <c r="E243" s="216"/>
      <c r="F243" s="216"/>
      <c r="G243" s="217"/>
      <c r="H243" s="218"/>
      <c r="I243" s="218" t="s">
        <v>1517</v>
      </c>
      <c r="J243" s="218"/>
    </row>
    <row r="244" spans="1:10" ht="15.75" customHeight="1" x14ac:dyDescent="0.45">
      <c r="A244" s="226"/>
      <c r="B244" s="226"/>
      <c r="C244" s="216"/>
      <c r="D244" s="216"/>
      <c r="E244" s="216"/>
      <c r="F244" s="216"/>
      <c r="G244" s="217"/>
      <c r="H244" s="218"/>
      <c r="I244" s="218" t="s">
        <v>1517</v>
      </c>
      <c r="J244" s="218"/>
    </row>
    <row r="245" spans="1:10" ht="15.75" customHeight="1" x14ac:dyDescent="0.45">
      <c r="A245" s="226"/>
      <c r="B245" s="226"/>
      <c r="C245" s="216"/>
      <c r="D245" s="216"/>
      <c r="E245" s="216"/>
      <c r="F245" s="216"/>
      <c r="G245" s="217"/>
      <c r="H245" s="218"/>
      <c r="I245" s="218" t="s">
        <v>1517</v>
      </c>
      <c r="J245" s="218"/>
    </row>
    <row r="246" spans="1:10" ht="15.75" customHeight="1" x14ac:dyDescent="0.45">
      <c r="A246" s="226"/>
      <c r="B246" s="226"/>
      <c r="C246" s="216"/>
      <c r="D246" s="216"/>
      <c r="E246" s="216"/>
      <c r="F246" s="216"/>
      <c r="G246" s="217"/>
      <c r="H246" s="218"/>
      <c r="I246" s="218" t="s">
        <v>1517</v>
      </c>
      <c r="J246" s="218"/>
    </row>
    <row r="247" spans="1:10" ht="15.75" customHeight="1" x14ac:dyDescent="0.45">
      <c r="A247" s="226"/>
      <c r="B247" s="226"/>
      <c r="C247" s="216"/>
      <c r="D247" s="216"/>
      <c r="E247" s="216"/>
      <c r="F247" s="216"/>
      <c r="G247" s="217"/>
      <c r="H247" s="218"/>
      <c r="I247" s="218" t="s">
        <v>1517</v>
      </c>
      <c r="J247" s="218"/>
    </row>
    <row r="248" spans="1:10" ht="15.75" customHeight="1" x14ac:dyDescent="0.45">
      <c r="A248" s="226"/>
      <c r="B248" s="226"/>
      <c r="C248" s="216"/>
      <c r="D248" s="216"/>
      <c r="E248" s="216"/>
      <c r="F248" s="216"/>
      <c r="G248" s="217"/>
      <c r="H248" s="218"/>
      <c r="I248" s="218" t="s">
        <v>1517</v>
      </c>
      <c r="J248" s="218"/>
    </row>
    <row r="249" spans="1:10" ht="15.75" customHeight="1" x14ac:dyDescent="0.45">
      <c r="A249" s="226"/>
      <c r="B249" s="226"/>
      <c r="C249" s="216"/>
      <c r="D249" s="216"/>
      <c r="E249" s="216"/>
      <c r="F249" s="216"/>
      <c r="G249" s="217"/>
      <c r="H249" s="218"/>
      <c r="I249" s="218" t="s">
        <v>1517</v>
      </c>
      <c r="J249" s="218"/>
    </row>
    <row r="250" spans="1:10" ht="15.75" customHeight="1" x14ac:dyDescent="0.45">
      <c r="A250" s="226"/>
      <c r="B250" s="226"/>
      <c r="C250" s="216"/>
      <c r="D250" s="216"/>
      <c r="E250" s="216"/>
      <c r="F250" s="216"/>
      <c r="G250" s="217"/>
      <c r="H250" s="218"/>
      <c r="I250" s="218" t="s">
        <v>1517</v>
      </c>
      <c r="J250" s="218"/>
    </row>
    <row r="251" spans="1:10" ht="15.75" customHeight="1" x14ac:dyDescent="0.45">
      <c r="A251" s="226"/>
      <c r="B251" s="226"/>
      <c r="C251" s="216"/>
      <c r="D251" s="216"/>
      <c r="E251" s="216"/>
      <c r="F251" s="216"/>
      <c r="G251" s="217"/>
      <c r="H251" s="218"/>
      <c r="I251" s="218" t="s">
        <v>1517</v>
      </c>
      <c r="J251" s="218"/>
    </row>
    <row r="252" spans="1:10" ht="15.75" customHeight="1" x14ac:dyDescent="0.45">
      <c r="A252" s="226"/>
      <c r="B252" s="226"/>
      <c r="C252" s="216"/>
      <c r="D252" s="216"/>
      <c r="E252" s="216"/>
      <c r="F252" s="216"/>
      <c r="G252" s="217"/>
      <c r="H252" s="218"/>
      <c r="I252" s="218" t="s">
        <v>1517</v>
      </c>
      <c r="J252" s="218"/>
    </row>
    <row r="253" spans="1:10" ht="15.75" customHeight="1" x14ac:dyDescent="0.45">
      <c r="A253" s="226"/>
      <c r="B253" s="226"/>
      <c r="C253" s="216"/>
      <c r="D253" s="216"/>
      <c r="E253" s="216"/>
      <c r="F253" s="216"/>
      <c r="G253" s="217"/>
      <c r="H253" s="218"/>
      <c r="I253" s="218" t="s">
        <v>1517</v>
      </c>
      <c r="J253" s="218"/>
    </row>
    <row r="254" spans="1:10" ht="15.75" customHeight="1" x14ac:dyDescent="0.45">
      <c r="A254" s="226"/>
      <c r="B254" s="226"/>
      <c r="C254" s="216"/>
      <c r="D254" s="216"/>
      <c r="E254" s="216"/>
      <c r="F254" s="216"/>
      <c r="G254" s="217"/>
      <c r="H254" s="218"/>
      <c r="I254" s="218" t="s">
        <v>1517</v>
      </c>
      <c r="J254" s="218"/>
    </row>
    <row r="255" spans="1:10" ht="15.75" customHeight="1" x14ac:dyDescent="0.45">
      <c r="A255" s="226"/>
      <c r="B255" s="226"/>
      <c r="C255" s="216"/>
      <c r="D255" s="216"/>
      <c r="E255" s="216"/>
      <c r="F255" s="216"/>
      <c r="G255" s="217"/>
      <c r="H255" s="218"/>
      <c r="I255" s="218" t="s">
        <v>1517</v>
      </c>
      <c r="J255" s="218"/>
    </row>
    <row r="256" spans="1:10" ht="15.75" customHeight="1" x14ac:dyDescent="0.45">
      <c r="A256" s="226"/>
      <c r="B256" s="226"/>
      <c r="C256" s="216"/>
      <c r="D256" s="216"/>
      <c r="E256" s="216"/>
      <c r="F256" s="216"/>
      <c r="G256" s="217"/>
      <c r="H256" s="218"/>
      <c r="I256" s="218" t="s">
        <v>1517</v>
      </c>
      <c r="J256" s="218"/>
    </row>
    <row r="257" spans="1:10" ht="15.75" customHeight="1" x14ac:dyDescent="0.45">
      <c r="A257" s="226"/>
      <c r="B257" s="226"/>
      <c r="C257" s="216"/>
      <c r="D257" s="216"/>
      <c r="E257" s="216"/>
      <c r="F257" s="216"/>
      <c r="G257" s="217"/>
      <c r="H257" s="218"/>
      <c r="I257" s="218" t="s">
        <v>1517</v>
      </c>
      <c r="J257" s="218"/>
    </row>
    <row r="258" spans="1:10" ht="15.75" customHeight="1" x14ac:dyDescent="0.45">
      <c r="A258" s="226"/>
      <c r="B258" s="226"/>
      <c r="C258" s="216"/>
      <c r="D258" s="216"/>
      <c r="E258" s="216"/>
      <c r="F258" s="216"/>
      <c r="G258" s="217"/>
      <c r="H258" s="218"/>
      <c r="I258" s="218" t="s">
        <v>1517</v>
      </c>
      <c r="J258" s="218"/>
    </row>
    <row r="259" spans="1:10" ht="15.75" customHeight="1" x14ac:dyDescent="0.45">
      <c r="A259" s="226"/>
      <c r="B259" s="226"/>
      <c r="C259" s="216"/>
      <c r="D259" s="216"/>
      <c r="E259" s="216"/>
      <c r="F259" s="216"/>
      <c r="G259" s="217"/>
      <c r="H259" s="218"/>
      <c r="I259" s="218" t="s">
        <v>1517</v>
      </c>
      <c r="J259" s="218"/>
    </row>
    <row r="260" spans="1:10" ht="15.75" customHeight="1" x14ac:dyDescent="0.45">
      <c r="A260" s="226"/>
      <c r="B260" s="226"/>
      <c r="C260" s="216"/>
      <c r="D260" s="216"/>
      <c r="E260" s="216"/>
      <c r="F260" s="216"/>
      <c r="G260" s="217"/>
      <c r="H260" s="218"/>
      <c r="I260" s="218" t="s">
        <v>1517</v>
      </c>
      <c r="J260" s="218"/>
    </row>
    <row r="261" spans="1:10" ht="15.75" customHeight="1" x14ac:dyDescent="0.45">
      <c r="A261" s="226"/>
      <c r="B261" s="226"/>
      <c r="C261" s="216"/>
      <c r="D261" s="216"/>
      <c r="E261" s="216"/>
      <c r="F261" s="216"/>
      <c r="G261" s="217"/>
      <c r="H261" s="218"/>
      <c r="I261" s="218" t="s">
        <v>1517</v>
      </c>
      <c r="J261" s="218"/>
    </row>
    <row r="262" spans="1:10" ht="15.75" customHeight="1" x14ac:dyDescent="0.45">
      <c r="A262" s="226"/>
      <c r="B262" s="226"/>
      <c r="C262" s="216"/>
      <c r="D262" s="216"/>
      <c r="E262" s="216"/>
      <c r="F262" s="216"/>
      <c r="G262" s="217"/>
      <c r="H262" s="218"/>
      <c r="I262" s="218" t="s">
        <v>1517</v>
      </c>
      <c r="J262" s="218"/>
    </row>
    <row r="263" spans="1:10" ht="15.75" customHeight="1" x14ac:dyDescent="0.45">
      <c r="A263" s="226"/>
      <c r="B263" s="226"/>
      <c r="C263" s="216"/>
      <c r="D263" s="216"/>
      <c r="E263" s="216"/>
      <c r="F263" s="216"/>
      <c r="G263" s="217"/>
      <c r="H263" s="218"/>
      <c r="I263" s="218" t="s">
        <v>1517</v>
      </c>
      <c r="J263" s="218"/>
    </row>
    <row r="264" spans="1:10" ht="15.75" customHeight="1" x14ac:dyDescent="0.45">
      <c r="A264" s="226"/>
      <c r="B264" s="226"/>
      <c r="C264" s="216"/>
      <c r="D264" s="216"/>
      <c r="E264" s="216"/>
      <c r="F264" s="216"/>
      <c r="G264" s="217"/>
      <c r="H264" s="218"/>
      <c r="I264" s="218" t="s">
        <v>1517</v>
      </c>
      <c r="J264" s="218"/>
    </row>
    <row r="265" spans="1:10" ht="15.75" customHeight="1" x14ac:dyDescent="0.45">
      <c r="A265" s="226"/>
      <c r="B265" s="226"/>
      <c r="C265" s="216"/>
      <c r="D265" s="216"/>
      <c r="E265" s="216"/>
      <c r="F265" s="216"/>
      <c r="G265" s="217"/>
      <c r="H265" s="218"/>
      <c r="I265" s="218" t="s">
        <v>1517</v>
      </c>
      <c r="J265" s="218"/>
    </row>
    <row r="266" spans="1:10" ht="15.75" customHeight="1" x14ac:dyDescent="0.45">
      <c r="A266" s="226"/>
      <c r="B266" s="226"/>
      <c r="C266" s="216"/>
      <c r="D266" s="216"/>
      <c r="E266" s="216"/>
      <c r="F266" s="216"/>
      <c r="G266" s="217"/>
      <c r="H266" s="218"/>
      <c r="I266" s="218" t="s">
        <v>1517</v>
      </c>
      <c r="J266" s="218"/>
    </row>
    <row r="267" spans="1:10" ht="15.75" customHeight="1" x14ac:dyDescent="0.45">
      <c r="A267" s="226"/>
      <c r="B267" s="226"/>
      <c r="C267" s="216"/>
      <c r="D267" s="216"/>
      <c r="E267" s="216"/>
      <c r="F267" s="216"/>
      <c r="G267" s="217"/>
      <c r="H267" s="218"/>
      <c r="I267" s="218" t="s">
        <v>1517</v>
      </c>
      <c r="J267" s="218"/>
    </row>
    <row r="268" spans="1:10" ht="15.75" customHeight="1" x14ac:dyDescent="0.45">
      <c r="A268" s="226"/>
      <c r="B268" s="226"/>
      <c r="C268" s="216"/>
      <c r="D268" s="216"/>
      <c r="E268" s="216"/>
      <c r="F268" s="216"/>
      <c r="G268" s="217"/>
      <c r="H268" s="218"/>
      <c r="I268" s="218" t="s">
        <v>1517</v>
      </c>
      <c r="J268" s="218"/>
    </row>
    <row r="269" spans="1:10" ht="15.75" customHeight="1" x14ac:dyDescent="0.45">
      <c r="A269" s="226"/>
      <c r="B269" s="226"/>
      <c r="C269" s="216"/>
      <c r="D269" s="216"/>
      <c r="E269" s="216"/>
      <c r="F269" s="216"/>
      <c r="G269" s="217"/>
      <c r="H269" s="218"/>
      <c r="I269" s="218" t="s">
        <v>1517</v>
      </c>
      <c r="J269" s="218"/>
    </row>
    <row r="270" spans="1:10" ht="15.75" customHeight="1" x14ac:dyDescent="0.45">
      <c r="A270" s="226"/>
      <c r="B270" s="226"/>
      <c r="C270" s="216"/>
      <c r="D270" s="216"/>
      <c r="E270" s="216"/>
      <c r="F270" s="216"/>
      <c r="G270" s="217"/>
      <c r="H270" s="218"/>
      <c r="I270" s="218" t="s">
        <v>1517</v>
      </c>
      <c r="J270" s="218"/>
    </row>
    <row r="271" spans="1:10" ht="15.75" customHeight="1" x14ac:dyDescent="0.45">
      <c r="A271" s="226"/>
      <c r="B271" s="226"/>
      <c r="C271" s="216"/>
      <c r="D271" s="216"/>
      <c r="E271" s="216"/>
      <c r="F271" s="216"/>
      <c r="G271" s="217"/>
      <c r="H271" s="218"/>
      <c r="I271" s="218" t="s">
        <v>1517</v>
      </c>
      <c r="J271" s="218"/>
    </row>
    <row r="272" spans="1:10" ht="15.75" customHeight="1" x14ac:dyDescent="0.45">
      <c r="A272" s="226"/>
      <c r="B272" s="226"/>
      <c r="C272" s="216"/>
      <c r="D272" s="216"/>
      <c r="E272" s="216"/>
      <c r="F272" s="216"/>
      <c r="G272" s="217"/>
      <c r="H272" s="218"/>
      <c r="I272" s="218" t="s">
        <v>1517</v>
      </c>
      <c r="J272" s="218"/>
    </row>
    <row r="273" spans="1:10" ht="15.75" customHeight="1" x14ac:dyDescent="0.45">
      <c r="A273" s="226"/>
      <c r="B273" s="226"/>
      <c r="C273" s="216"/>
      <c r="D273" s="216"/>
      <c r="E273" s="216"/>
      <c r="F273" s="216"/>
      <c r="G273" s="217"/>
      <c r="H273" s="218"/>
      <c r="I273" s="218" t="s">
        <v>1517</v>
      </c>
      <c r="J273" s="218"/>
    </row>
    <row r="274" spans="1:10" ht="15.75" customHeight="1" x14ac:dyDescent="0.45">
      <c r="A274" s="226"/>
      <c r="B274" s="226"/>
      <c r="C274" s="216"/>
      <c r="D274" s="216"/>
      <c r="E274" s="216"/>
      <c r="F274" s="216"/>
      <c r="G274" s="217"/>
      <c r="H274" s="218"/>
      <c r="I274" s="218" t="s">
        <v>1517</v>
      </c>
      <c r="J274" s="218"/>
    </row>
    <row r="275" spans="1:10" ht="15.75" customHeight="1" x14ac:dyDescent="0.45">
      <c r="A275" s="226"/>
      <c r="B275" s="226"/>
      <c r="C275" s="216"/>
      <c r="D275" s="216"/>
      <c r="E275" s="216"/>
      <c r="F275" s="216"/>
      <c r="G275" s="217"/>
      <c r="H275" s="218"/>
      <c r="I275" s="218" t="s">
        <v>1517</v>
      </c>
      <c r="J275" s="218"/>
    </row>
    <row r="276" spans="1:10" ht="15.75" customHeight="1" x14ac:dyDescent="0.45">
      <c r="A276" s="226"/>
      <c r="B276" s="226"/>
      <c r="C276" s="216"/>
      <c r="D276" s="216"/>
      <c r="E276" s="216"/>
      <c r="F276" s="216"/>
      <c r="G276" s="217"/>
      <c r="H276" s="218"/>
      <c r="I276" s="218" t="s">
        <v>1517</v>
      </c>
      <c r="J276" s="218"/>
    </row>
    <row r="277" spans="1:10" ht="15.75" customHeight="1" x14ac:dyDescent="0.45">
      <c r="A277" s="226"/>
      <c r="B277" s="226"/>
      <c r="C277" s="216"/>
      <c r="D277" s="216"/>
      <c r="E277" s="216"/>
      <c r="F277" s="216"/>
      <c r="G277" s="217"/>
      <c r="H277" s="218"/>
      <c r="I277" s="218" t="s">
        <v>1517</v>
      </c>
      <c r="J277" s="218"/>
    </row>
    <row r="278" spans="1:10" ht="15.75" customHeight="1" x14ac:dyDescent="0.45">
      <c r="A278" s="226"/>
      <c r="B278" s="226"/>
      <c r="C278" s="216"/>
      <c r="D278" s="216"/>
      <c r="E278" s="216"/>
      <c r="F278" s="216"/>
      <c r="G278" s="217"/>
      <c r="H278" s="218"/>
      <c r="I278" s="218" t="s">
        <v>1517</v>
      </c>
      <c r="J278" s="218"/>
    </row>
    <row r="279" spans="1:10" ht="15.75" customHeight="1" x14ac:dyDescent="0.45">
      <c r="A279" s="226"/>
      <c r="B279" s="226"/>
      <c r="C279" s="216"/>
      <c r="D279" s="216"/>
      <c r="E279" s="216"/>
      <c r="F279" s="216"/>
      <c r="G279" s="217"/>
      <c r="H279" s="218"/>
      <c r="I279" s="218" t="s">
        <v>1517</v>
      </c>
      <c r="J279" s="218"/>
    </row>
    <row r="280" spans="1:10" ht="15.75" customHeight="1" x14ac:dyDescent="0.45">
      <c r="A280" s="226"/>
      <c r="B280" s="226"/>
      <c r="C280" s="216"/>
      <c r="D280" s="216"/>
      <c r="E280" s="216"/>
      <c r="F280" s="216"/>
      <c r="G280" s="217"/>
      <c r="H280" s="218"/>
      <c r="I280" s="218" t="s">
        <v>1517</v>
      </c>
      <c r="J280" s="218"/>
    </row>
    <row r="281" spans="1:10" ht="15.75" customHeight="1" x14ac:dyDescent="0.45">
      <c r="A281" s="226"/>
      <c r="B281" s="226"/>
      <c r="C281" s="216"/>
      <c r="D281" s="216"/>
      <c r="E281" s="216"/>
      <c r="F281" s="216"/>
      <c r="G281" s="217"/>
      <c r="H281" s="218"/>
      <c r="I281" s="218" t="s">
        <v>1517</v>
      </c>
      <c r="J281" s="218"/>
    </row>
    <row r="282" spans="1:10" ht="15.75" customHeight="1" x14ac:dyDescent="0.45">
      <c r="A282" s="226"/>
      <c r="B282" s="226"/>
      <c r="C282" s="216"/>
      <c r="D282" s="216"/>
      <c r="E282" s="216"/>
      <c r="F282" s="216"/>
      <c r="G282" s="217"/>
      <c r="H282" s="218"/>
      <c r="I282" s="218" t="s">
        <v>1517</v>
      </c>
      <c r="J282" s="218"/>
    </row>
    <row r="283" spans="1:10" ht="15.75" customHeight="1" x14ac:dyDescent="0.45">
      <c r="A283" s="226"/>
      <c r="B283" s="226"/>
      <c r="C283" s="216"/>
      <c r="D283" s="216"/>
      <c r="E283" s="216"/>
      <c r="F283" s="216"/>
      <c r="G283" s="217"/>
      <c r="H283" s="218"/>
      <c r="I283" s="218" t="s">
        <v>1517</v>
      </c>
      <c r="J283" s="218"/>
    </row>
    <row r="284" spans="1:10" ht="15.75" customHeight="1" x14ac:dyDescent="0.45">
      <c r="A284" s="226"/>
      <c r="B284" s="226"/>
      <c r="C284" s="216"/>
      <c r="D284" s="216"/>
      <c r="E284" s="216"/>
      <c r="F284" s="216"/>
      <c r="G284" s="217"/>
      <c r="H284" s="218"/>
      <c r="I284" s="218" t="s">
        <v>1517</v>
      </c>
      <c r="J284" s="218"/>
    </row>
    <row r="285" spans="1:10" ht="15.75" customHeight="1" x14ac:dyDescent="0.45">
      <c r="A285" s="226"/>
      <c r="B285" s="226"/>
      <c r="C285" s="216"/>
      <c r="D285" s="216"/>
      <c r="E285" s="216"/>
      <c r="F285" s="216"/>
      <c r="G285" s="217"/>
      <c r="H285" s="218"/>
      <c r="I285" s="218" t="s">
        <v>1517</v>
      </c>
      <c r="J285" s="218"/>
    </row>
    <row r="286" spans="1:10" ht="15.75" customHeight="1" x14ac:dyDescent="0.45">
      <c r="A286" s="226"/>
      <c r="B286" s="226"/>
      <c r="C286" s="216"/>
      <c r="D286" s="216"/>
      <c r="E286" s="216"/>
      <c r="F286" s="216"/>
      <c r="G286" s="217"/>
      <c r="H286" s="218"/>
      <c r="I286" s="218" t="s">
        <v>1517</v>
      </c>
      <c r="J286" s="218"/>
    </row>
    <row r="287" spans="1:10" ht="15.75" customHeight="1" x14ac:dyDescent="0.45">
      <c r="A287" s="226"/>
      <c r="B287" s="226"/>
      <c r="C287" s="216"/>
      <c r="D287" s="216"/>
      <c r="E287" s="216"/>
      <c r="F287" s="216"/>
      <c r="G287" s="217"/>
      <c r="H287" s="218"/>
      <c r="I287" s="218" t="s">
        <v>1517</v>
      </c>
      <c r="J287" s="218"/>
    </row>
    <row r="288" spans="1:10" ht="15.75" customHeight="1" x14ac:dyDescent="0.45">
      <c r="A288" s="226"/>
      <c r="B288" s="226"/>
      <c r="C288" s="216"/>
      <c r="D288" s="216"/>
      <c r="E288" s="216"/>
      <c r="F288" s="216"/>
      <c r="G288" s="217"/>
      <c r="H288" s="218"/>
      <c r="I288" s="218" t="s">
        <v>1517</v>
      </c>
      <c r="J288" s="218"/>
    </row>
    <row r="289" spans="1:10" ht="15.75" customHeight="1" x14ac:dyDescent="0.45">
      <c r="A289" s="226"/>
      <c r="B289" s="226"/>
      <c r="C289" s="216"/>
      <c r="D289" s="216"/>
      <c r="E289" s="216"/>
      <c r="F289" s="216"/>
      <c r="G289" s="217"/>
      <c r="H289" s="218"/>
      <c r="I289" s="218" t="s">
        <v>1517</v>
      </c>
      <c r="J289" s="218"/>
    </row>
    <row r="290" spans="1:10" ht="15.75" customHeight="1" x14ac:dyDescent="0.45">
      <c r="A290" s="226"/>
      <c r="B290" s="226"/>
      <c r="C290" s="216"/>
      <c r="D290" s="216"/>
      <c r="E290" s="216"/>
      <c r="F290" s="216"/>
      <c r="G290" s="217"/>
      <c r="H290" s="218"/>
      <c r="I290" s="218" t="s">
        <v>1517</v>
      </c>
      <c r="J290" s="218"/>
    </row>
    <row r="291" spans="1:10" ht="15.75" customHeight="1" x14ac:dyDescent="0.45">
      <c r="A291" s="226"/>
      <c r="B291" s="226"/>
      <c r="C291" s="216"/>
      <c r="D291" s="216"/>
      <c r="E291" s="216"/>
      <c r="F291" s="216"/>
      <c r="G291" s="217"/>
      <c r="H291" s="218"/>
      <c r="I291" s="218" t="s">
        <v>1517</v>
      </c>
      <c r="J291" s="218"/>
    </row>
    <row r="292" spans="1:10" ht="15.75" customHeight="1" x14ac:dyDescent="0.45">
      <c r="A292" s="226"/>
      <c r="B292" s="226"/>
      <c r="C292" s="216"/>
      <c r="D292" s="216"/>
      <c r="E292" s="216"/>
      <c r="F292" s="216"/>
      <c r="G292" s="217"/>
      <c r="H292" s="218"/>
      <c r="I292" s="218" t="s">
        <v>1517</v>
      </c>
      <c r="J292" s="218"/>
    </row>
    <row r="293" spans="1:10" ht="15.75" customHeight="1" x14ac:dyDescent="0.45">
      <c r="A293" s="226"/>
      <c r="B293" s="226"/>
      <c r="C293" s="216"/>
      <c r="D293" s="216"/>
      <c r="E293" s="216"/>
      <c r="F293" s="216"/>
      <c r="G293" s="217"/>
      <c r="H293" s="218"/>
      <c r="I293" s="218" t="s">
        <v>1517</v>
      </c>
      <c r="J293" s="218"/>
    </row>
    <row r="294" spans="1:10" ht="15.75" customHeight="1" x14ac:dyDescent="0.45">
      <c r="A294" s="226"/>
      <c r="B294" s="226"/>
      <c r="C294" s="216"/>
      <c r="D294" s="216"/>
      <c r="E294" s="216"/>
      <c r="F294" s="216"/>
      <c r="G294" s="217"/>
      <c r="H294" s="218"/>
      <c r="I294" s="218" t="s">
        <v>1517</v>
      </c>
      <c r="J294" s="218"/>
    </row>
    <row r="295" spans="1:10" ht="15.75" customHeight="1" x14ac:dyDescent="0.45">
      <c r="A295" s="226"/>
      <c r="B295" s="226"/>
      <c r="C295" s="216"/>
      <c r="D295" s="216"/>
      <c r="E295" s="216"/>
      <c r="F295" s="216"/>
      <c r="G295" s="217"/>
      <c r="H295" s="218"/>
      <c r="I295" s="218" t="s">
        <v>1517</v>
      </c>
      <c r="J295" s="218"/>
    </row>
    <row r="296" spans="1:10" ht="15.75" customHeight="1" x14ac:dyDescent="0.45">
      <c r="A296" s="226"/>
      <c r="B296" s="226"/>
      <c r="C296" s="216"/>
      <c r="D296" s="216"/>
      <c r="E296" s="216"/>
      <c r="F296" s="216"/>
      <c r="G296" s="217"/>
      <c r="H296" s="218"/>
      <c r="I296" s="218" t="s">
        <v>1517</v>
      </c>
      <c r="J296" s="218"/>
    </row>
    <row r="297" spans="1:10" ht="15.75" customHeight="1" x14ac:dyDescent="0.45">
      <c r="A297" s="226"/>
      <c r="B297" s="226"/>
      <c r="C297" s="216"/>
      <c r="D297" s="216"/>
      <c r="E297" s="216"/>
      <c r="F297" s="216"/>
      <c r="G297" s="217"/>
      <c r="H297" s="218"/>
      <c r="I297" s="218" t="s">
        <v>1517</v>
      </c>
      <c r="J297" s="218"/>
    </row>
    <row r="298" spans="1:10" ht="15.75" customHeight="1" x14ac:dyDescent="0.45">
      <c r="A298" s="226"/>
      <c r="B298" s="226"/>
      <c r="C298" s="216"/>
      <c r="D298" s="216"/>
      <c r="E298" s="216"/>
      <c r="F298" s="216"/>
      <c r="G298" s="217"/>
      <c r="H298" s="218"/>
      <c r="I298" s="218" t="s">
        <v>1517</v>
      </c>
      <c r="J298" s="218"/>
    </row>
    <row r="299" spans="1:10" ht="15.75" customHeight="1" x14ac:dyDescent="0.45">
      <c r="A299" s="226"/>
      <c r="B299" s="226"/>
      <c r="C299" s="216"/>
      <c r="D299" s="216"/>
      <c r="E299" s="216"/>
      <c r="F299" s="216"/>
      <c r="G299" s="217"/>
      <c r="H299" s="218"/>
      <c r="I299" s="218" t="s">
        <v>1517</v>
      </c>
      <c r="J299" s="218"/>
    </row>
    <row r="300" spans="1:10" ht="15.75" customHeight="1" x14ac:dyDescent="0.45">
      <c r="A300" s="226"/>
      <c r="B300" s="226"/>
      <c r="C300" s="216"/>
      <c r="D300" s="216"/>
      <c r="E300" s="216"/>
      <c r="F300" s="216"/>
      <c r="G300" s="217"/>
      <c r="H300" s="218"/>
      <c r="I300" s="218" t="s">
        <v>1517</v>
      </c>
      <c r="J300" s="218"/>
    </row>
    <row r="301" spans="1:10" ht="15.75" customHeight="1" x14ac:dyDescent="0.45">
      <c r="A301" s="226"/>
      <c r="B301" s="226"/>
      <c r="C301" s="216"/>
      <c r="D301" s="216"/>
      <c r="E301" s="216"/>
      <c r="F301" s="216"/>
      <c r="G301" s="217"/>
      <c r="H301" s="218"/>
      <c r="I301" s="218" t="s">
        <v>1517</v>
      </c>
      <c r="J301" s="218"/>
    </row>
    <row r="302" spans="1:10" ht="15.75" customHeight="1" x14ac:dyDescent="0.45">
      <c r="A302" s="226"/>
      <c r="B302" s="226"/>
      <c r="C302" s="216"/>
      <c r="D302" s="216"/>
      <c r="E302" s="216"/>
      <c r="F302" s="216"/>
      <c r="G302" s="217"/>
      <c r="H302" s="218"/>
      <c r="I302" s="218" t="s">
        <v>1517</v>
      </c>
      <c r="J302" s="218"/>
    </row>
    <row r="303" spans="1:10" ht="15.75" customHeight="1" x14ac:dyDescent="0.45">
      <c r="A303" s="226"/>
      <c r="B303" s="226"/>
      <c r="C303" s="216"/>
      <c r="D303" s="216"/>
      <c r="E303" s="216"/>
      <c r="F303" s="216"/>
      <c r="G303" s="217"/>
      <c r="H303" s="218"/>
      <c r="I303" s="218" t="s">
        <v>1517</v>
      </c>
      <c r="J303" s="218"/>
    </row>
    <row r="304" spans="1:10" ht="15.75" customHeight="1" x14ac:dyDescent="0.45">
      <c r="A304" s="226"/>
      <c r="B304" s="226"/>
      <c r="C304" s="216"/>
      <c r="D304" s="216"/>
      <c r="E304" s="216"/>
      <c r="F304" s="216"/>
      <c r="G304" s="217"/>
      <c r="H304" s="218"/>
      <c r="I304" s="218" t="s">
        <v>1517</v>
      </c>
      <c r="J304" s="218"/>
    </row>
    <row r="305" spans="1:10" ht="15.75" customHeight="1" x14ac:dyDescent="0.45">
      <c r="A305" s="226"/>
      <c r="B305" s="226"/>
      <c r="C305" s="216"/>
      <c r="D305" s="216"/>
      <c r="E305" s="216"/>
      <c r="F305" s="216"/>
      <c r="G305" s="217"/>
      <c r="H305" s="218"/>
      <c r="I305" s="218" t="s">
        <v>1517</v>
      </c>
      <c r="J305" s="218"/>
    </row>
    <row r="306" spans="1:10" ht="15.75" customHeight="1" x14ac:dyDescent="0.45">
      <c r="A306" s="226"/>
      <c r="B306" s="226"/>
      <c r="C306" s="216"/>
      <c r="D306" s="216"/>
      <c r="E306" s="216"/>
      <c r="F306" s="216"/>
      <c r="G306" s="217"/>
      <c r="H306" s="218"/>
      <c r="I306" s="218" t="s">
        <v>1517</v>
      </c>
      <c r="J306" s="218"/>
    </row>
    <row r="307" spans="1:10" ht="15.75" customHeight="1" x14ac:dyDescent="0.45">
      <c r="A307" s="226"/>
      <c r="B307" s="226"/>
      <c r="C307" s="216"/>
      <c r="D307" s="216"/>
      <c r="E307" s="216"/>
      <c r="F307" s="216"/>
      <c r="G307" s="217"/>
      <c r="H307" s="218"/>
      <c r="I307" s="218" t="s">
        <v>1517</v>
      </c>
      <c r="J307" s="218"/>
    </row>
    <row r="308" spans="1:10" ht="15.75" customHeight="1" x14ac:dyDescent="0.45">
      <c r="A308" s="226"/>
      <c r="B308" s="226"/>
      <c r="C308" s="216"/>
      <c r="D308" s="216"/>
      <c r="E308" s="216"/>
      <c r="F308" s="216"/>
      <c r="G308" s="217"/>
      <c r="H308" s="218"/>
      <c r="I308" s="218" t="s">
        <v>1517</v>
      </c>
      <c r="J308" s="218"/>
    </row>
    <row r="309" spans="1:10" ht="15.75" customHeight="1" x14ac:dyDescent="0.45">
      <c r="A309" s="226"/>
      <c r="B309" s="226"/>
      <c r="C309" s="216"/>
      <c r="D309" s="216"/>
      <c r="E309" s="216"/>
      <c r="F309" s="216"/>
      <c r="G309" s="217"/>
      <c r="H309" s="218"/>
      <c r="I309" s="218" t="s">
        <v>1517</v>
      </c>
      <c r="J309" s="218"/>
    </row>
    <row r="310" spans="1:10" ht="15.75" customHeight="1" x14ac:dyDescent="0.45">
      <c r="A310" s="226"/>
      <c r="B310" s="226"/>
      <c r="C310" s="216"/>
      <c r="D310" s="216"/>
      <c r="E310" s="216"/>
      <c r="F310" s="216"/>
      <c r="G310" s="217"/>
      <c r="H310" s="218"/>
      <c r="I310" s="218" t="s">
        <v>1517</v>
      </c>
      <c r="J310" s="218"/>
    </row>
    <row r="311" spans="1:10" ht="15.75" customHeight="1" x14ac:dyDescent="0.45">
      <c r="A311" s="226"/>
      <c r="B311" s="226"/>
      <c r="C311" s="216"/>
      <c r="D311" s="216"/>
      <c r="E311" s="216"/>
      <c r="F311" s="216"/>
      <c r="G311" s="217"/>
      <c r="H311" s="218"/>
      <c r="I311" s="218" t="s">
        <v>1517</v>
      </c>
      <c r="J311" s="218"/>
    </row>
    <row r="312" spans="1:10" ht="15.75" customHeight="1" x14ac:dyDescent="0.45">
      <c r="A312" s="226"/>
      <c r="B312" s="226"/>
      <c r="C312" s="216"/>
      <c r="D312" s="216"/>
      <c r="E312" s="216"/>
      <c r="F312" s="216"/>
      <c r="G312" s="217"/>
      <c r="H312" s="218"/>
      <c r="I312" s="218" t="s">
        <v>1517</v>
      </c>
      <c r="J312" s="218"/>
    </row>
    <row r="313" spans="1:10" ht="15.75" customHeight="1" x14ac:dyDescent="0.45">
      <c r="A313" s="226"/>
      <c r="B313" s="226"/>
      <c r="C313" s="216"/>
      <c r="D313" s="216"/>
      <c r="E313" s="216"/>
      <c r="F313" s="216"/>
      <c r="G313" s="217"/>
      <c r="H313" s="218"/>
      <c r="I313" s="218" t="s">
        <v>1517</v>
      </c>
      <c r="J313" s="218"/>
    </row>
    <row r="314" spans="1:10" ht="15.75" customHeight="1" x14ac:dyDescent="0.45">
      <c r="A314" s="226"/>
      <c r="B314" s="226"/>
      <c r="C314" s="216"/>
      <c r="D314" s="216"/>
      <c r="E314" s="216"/>
      <c r="F314" s="216"/>
      <c r="G314" s="217"/>
      <c r="H314" s="218"/>
      <c r="I314" s="218" t="s">
        <v>1517</v>
      </c>
      <c r="J314" s="218"/>
    </row>
    <row r="315" spans="1:10" ht="15.75" customHeight="1" x14ac:dyDescent="0.45">
      <c r="A315" s="226"/>
      <c r="B315" s="226"/>
      <c r="C315" s="216"/>
      <c r="D315" s="216"/>
      <c r="E315" s="216"/>
      <c r="F315" s="216"/>
      <c r="G315" s="217"/>
      <c r="H315" s="218"/>
      <c r="I315" s="218" t="s">
        <v>1517</v>
      </c>
      <c r="J315" s="218"/>
    </row>
    <row r="316" spans="1:10" ht="15.75" customHeight="1" x14ac:dyDescent="0.45">
      <c r="A316" s="226"/>
      <c r="B316" s="226"/>
      <c r="C316" s="216"/>
      <c r="D316" s="216"/>
      <c r="E316" s="216"/>
      <c r="F316" s="216"/>
      <c r="G316" s="217"/>
      <c r="H316" s="218"/>
      <c r="I316" s="218" t="s">
        <v>1517</v>
      </c>
      <c r="J316" s="218"/>
    </row>
    <row r="317" spans="1:10" ht="15.75" customHeight="1" x14ac:dyDescent="0.45">
      <c r="A317" s="226"/>
      <c r="B317" s="226"/>
      <c r="C317" s="216"/>
      <c r="D317" s="216"/>
      <c r="E317" s="216"/>
      <c r="F317" s="216"/>
      <c r="G317" s="217"/>
      <c r="H317" s="218"/>
      <c r="I317" s="218" t="s">
        <v>1517</v>
      </c>
      <c r="J317" s="218"/>
    </row>
    <row r="318" spans="1:10" ht="15.75" customHeight="1" x14ac:dyDescent="0.45">
      <c r="A318" s="226"/>
      <c r="B318" s="226"/>
      <c r="C318" s="216"/>
      <c r="D318" s="216"/>
      <c r="E318" s="216"/>
      <c r="F318" s="216"/>
      <c r="G318" s="217"/>
      <c r="H318" s="218"/>
      <c r="I318" s="218" t="s">
        <v>1517</v>
      </c>
      <c r="J318" s="218"/>
    </row>
    <row r="319" spans="1:10" ht="15.75" customHeight="1" x14ac:dyDescent="0.45">
      <c r="A319" s="226"/>
      <c r="B319" s="226"/>
      <c r="C319" s="216"/>
      <c r="D319" s="216"/>
      <c r="E319" s="216"/>
      <c r="F319" s="216"/>
      <c r="G319" s="217"/>
      <c r="H319" s="218"/>
      <c r="I319" s="218" t="s">
        <v>1517</v>
      </c>
      <c r="J319" s="218"/>
    </row>
    <row r="320" spans="1:10" ht="15.75" customHeight="1" x14ac:dyDescent="0.45">
      <c r="A320" s="226"/>
      <c r="B320" s="226"/>
      <c r="C320" s="216"/>
      <c r="D320" s="216"/>
      <c r="E320" s="216"/>
      <c r="F320" s="216"/>
      <c r="G320" s="217"/>
      <c r="H320" s="218"/>
      <c r="I320" s="218" t="s">
        <v>1517</v>
      </c>
      <c r="J320" s="218"/>
    </row>
    <row r="321" spans="1:10" ht="15.75" customHeight="1" x14ac:dyDescent="0.45">
      <c r="A321" s="226"/>
      <c r="B321" s="226"/>
      <c r="C321" s="216"/>
      <c r="D321" s="216"/>
      <c r="E321" s="216"/>
      <c r="F321" s="216"/>
      <c r="G321" s="217"/>
      <c r="H321" s="218"/>
      <c r="I321" s="218" t="s">
        <v>1517</v>
      </c>
      <c r="J321" s="218"/>
    </row>
    <row r="322" spans="1:10" ht="15.75" customHeight="1" x14ac:dyDescent="0.45">
      <c r="A322" s="226"/>
      <c r="B322" s="226"/>
      <c r="C322" s="216"/>
      <c r="D322" s="216"/>
      <c r="E322" s="216"/>
      <c r="F322" s="216"/>
      <c r="G322" s="217"/>
      <c r="H322" s="218"/>
      <c r="I322" s="218" t="s">
        <v>1517</v>
      </c>
      <c r="J322" s="218"/>
    </row>
    <row r="323" spans="1:10" ht="15.75" customHeight="1" x14ac:dyDescent="0.45">
      <c r="A323" s="226"/>
      <c r="B323" s="226"/>
      <c r="C323" s="216"/>
      <c r="D323" s="216"/>
      <c r="E323" s="216"/>
      <c r="F323" s="216"/>
      <c r="G323" s="217"/>
      <c r="H323" s="218"/>
      <c r="I323" s="218" t="s">
        <v>1517</v>
      </c>
      <c r="J323" s="218"/>
    </row>
    <row r="324" spans="1:10" ht="15.75" customHeight="1" x14ac:dyDescent="0.45">
      <c r="A324" s="226"/>
      <c r="B324" s="226"/>
      <c r="C324" s="216"/>
      <c r="D324" s="216"/>
      <c r="E324" s="216"/>
      <c r="F324" s="216"/>
      <c r="G324" s="217"/>
      <c r="H324" s="218"/>
      <c r="I324" s="218" t="s">
        <v>1517</v>
      </c>
      <c r="J324" s="218"/>
    </row>
    <row r="325" spans="1:10" ht="15.75" customHeight="1" x14ac:dyDescent="0.45">
      <c r="A325" s="226"/>
      <c r="B325" s="226"/>
      <c r="C325" s="216"/>
      <c r="D325" s="216"/>
      <c r="E325" s="216"/>
      <c r="F325" s="216"/>
      <c r="G325" s="217"/>
      <c r="H325" s="218"/>
      <c r="I325" s="218" t="s">
        <v>1517</v>
      </c>
      <c r="J325" s="218"/>
    </row>
    <row r="326" spans="1:10" ht="15.75" customHeight="1" x14ac:dyDescent="0.45">
      <c r="A326" s="226"/>
      <c r="B326" s="226"/>
      <c r="C326" s="216"/>
      <c r="D326" s="216"/>
      <c r="E326" s="216"/>
      <c r="F326" s="216"/>
      <c r="G326" s="217"/>
      <c r="H326" s="218"/>
      <c r="I326" s="218" t="s">
        <v>1517</v>
      </c>
      <c r="J326" s="218"/>
    </row>
    <row r="327" spans="1:10" ht="15.75" customHeight="1" x14ac:dyDescent="0.45">
      <c r="A327" s="226"/>
      <c r="B327" s="226"/>
      <c r="C327" s="216"/>
      <c r="D327" s="216"/>
      <c r="E327" s="216"/>
      <c r="F327" s="216"/>
      <c r="G327" s="217"/>
      <c r="H327" s="218"/>
      <c r="I327" s="218" t="s">
        <v>1517</v>
      </c>
      <c r="J327" s="218"/>
    </row>
    <row r="328" spans="1:10" ht="15.75" customHeight="1" x14ac:dyDescent="0.45">
      <c r="A328" s="226"/>
      <c r="B328" s="226"/>
      <c r="C328" s="216"/>
      <c r="D328" s="216"/>
      <c r="E328" s="216"/>
      <c r="F328" s="216"/>
      <c r="G328" s="217"/>
      <c r="H328" s="218"/>
      <c r="I328" s="218" t="s">
        <v>1517</v>
      </c>
      <c r="J328" s="218"/>
    </row>
    <row r="329" spans="1:10" ht="15.75" customHeight="1" x14ac:dyDescent="0.45">
      <c r="A329" s="226"/>
      <c r="B329" s="226"/>
      <c r="C329" s="216"/>
      <c r="D329" s="216"/>
      <c r="E329" s="216"/>
      <c r="F329" s="216"/>
      <c r="G329" s="217"/>
      <c r="H329" s="218"/>
      <c r="I329" s="218" t="s">
        <v>1517</v>
      </c>
      <c r="J329" s="218"/>
    </row>
    <row r="330" spans="1:10" ht="15.75" customHeight="1" x14ac:dyDescent="0.45">
      <c r="A330" s="226"/>
      <c r="B330" s="226"/>
      <c r="C330" s="216"/>
      <c r="D330" s="216"/>
      <c r="E330" s="216"/>
      <c r="F330" s="216"/>
      <c r="G330" s="217"/>
      <c r="H330" s="218"/>
      <c r="I330" s="218" t="s">
        <v>1517</v>
      </c>
      <c r="J330" s="218"/>
    </row>
    <row r="331" spans="1:10" ht="15.75" customHeight="1" x14ac:dyDescent="0.45">
      <c r="A331" s="226"/>
      <c r="B331" s="226"/>
      <c r="C331" s="216"/>
      <c r="D331" s="216"/>
      <c r="E331" s="216"/>
      <c r="F331" s="216"/>
      <c r="G331" s="217"/>
      <c r="H331" s="218"/>
      <c r="I331" s="218" t="s">
        <v>1517</v>
      </c>
      <c r="J331" s="218"/>
    </row>
    <row r="332" spans="1:10" ht="15.75" customHeight="1" x14ac:dyDescent="0.45">
      <c r="A332" s="226"/>
      <c r="B332" s="226"/>
      <c r="C332" s="216"/>
      <c r="D332" s="216"/>
      <c r="E332" s="216"/>
      <c r="F332" s="216"/>
      <c r="G332" s="217"/>
      <c r="H332" s="218"/>
      <c r="I332" s="218" t="s">
        <v>1517</v>
      </c>
      <c r="J332" s="218"/>
    </row>
    <row r="333" spans="1:10" ht="15.75" customHeight="1" x14ac:dyDescent="0.45">
      <c r="A333" s="226"/>
      <c r="B333" s="226"/>
      <c r="C333" s="216"/>
      <c r="D333" s="216"/>
      <c r="E333" s="216"/>
      <c r="F333" s="216"/>
      <c r="G333" s="217"/>
      <c r="H333" s="218"/>
      <c r="I333" s="218" t="s">
        <v>1517</v>
      </c>
      <c r="J333" s="218"/>
    </row>
    <row r="334" spans="1:10" ht="15.75" customHeight="1" x14ac:dyDescent="0.45">
      <c r="A334" s="226"/>
      <c r="B334" s="226"/>
      <c r="C334" s="216"/>
      <c r="D334" s="216"/>
      <c r="E334" s="216"/>
      <c r="F334" s="216"/>
      <c r="G334" s="217"/>
      <c r="H334" s="218"/>
      <c r="I334" s="218" t="s">
        <v>1517</v>
      </c>
      <c r="J334" s="218"/>
    </row>
    <row r="335" spans="1:10" ht="15.75" customHeight="1" x14ac:dyDescent="0.45">
      <c r="A335" s="226"/>
      <c r="B335" s="226"/>
      <c r="C335" s="216"/>
      <c r="D335" s="216"/>
      <c r="E335" s="216"/>
      <c r="F335" s="216"/>
      <c r="G335" s="217"/>
      <c r="H335" s="218"/>
      <c r="I335" s="218" t="s">
        <v>1517</v>
      </c>
      <c r="J335" s="218"/>
    </row>
    <row r="336" spans="1:10" ht="15.75" customHeight="1" x14ac:dyDescent="0.45">
      <c r="A336" s="226"/>
      <c r="B336" s="226"/>
      <c r="C336" s="216"/>
      <c r="D336" s="216"/>
      <c r="E336" s="216"/>
      <c r="F336" s="216"/>
      <c r="G336" s="217"/>
      <c r="H336" s="218"/>
      <c r="I336" s="218" t="s">
        <v>1517</v>
      </c>
      <c r="J336" s="218"/>
    </row>
    <row r="337" spans="1:10" ht="15.75" customHeight="1" x14ac:dyDescent="0.45">
      <c r="A337" s="226"/>
      <c r="B337" s="226"/>
      <c r="C337" s="216"/>
      <c r="D337" s="216"/>
      <c r="E337" s="216"/>
      <c r="F337" s="216"/>
      <c r="G337" s="217"/>
      <c r="H337" s="218"/>
      <c r="I337" s="218" t="s">
        <v>1517</v>
      </c>
      <c r="J337" s="218"/>
    </row>
    <row r="338" spans="1:10" ht="15.75" customHeight="1" x14ac:dyDescent="0.45">
      <c r="A338" s="226"/>
      <c r="B338" s="226"/>
      <c r="C338" s="216"/>
      <c r="D338" s="216"/>
      <c r="E338" s="216"/>
      <c r="F338" s="216"/>
      <c r="G338" s="217"/>
      <c r="H338" s="218"/>
      <c r="I338" s="218" t="s">
        <v>1517</v>
      </c>
      <c r="J338" s="218"/>
    </row>
    <row r="339" spans="1:10" ht="15.75" customHeight="1" x14ac:dyDescent="0.45">
      <c r="A339" s="226"/>
      <c r="B339" s="226"/>
      <c r="C339" s="216"/>
      <c r="D339" s="216"/>
      <c r="E339" s="216"/>
      <c r="F339" s="216"/>
      <c r="G339" s="217"/>
      <c r="H339" s="218"/>
      <c r="I339" s="218" t="s">
        <v>1517</v>
      </c>
      <c r="J339" s="218"/>
    </row>
    <row r="340" spans="1:10" ht="15.75" customHeight="1" x14ac:dyDescent="0.45">
      <c r="A340" s="226"/>
      <c r="B340" s="226"/>
      <c r="C340" s="216"/>
      <c r="D340" s="216"/>
      <c r="E340" s="216"/>
      <c r="F340" s="216"/>
      <c r="G340" s="217"/>
      <c r="H340" s="218"/>
      <c r="I340" s="218" t="s">
        <v>1517</v>
      </c>
      <c r="J340" s="218"/>
    </row>
    <row r="341" spans="1:10" ht="15.75" customHeight="1" x14ac:dyDescent="0.45">
      <c r="A341" s="226"/>
      <c r="B341" s="226"/>
      <c r="C341" s="216"/>
      <c r="D341" s="216"/>
      <c r="E341" s="216"/>
      <c r="F341" s="216"/>
      <c r="G341" s="217"/>
      <c r="H341" s="218"/>
      <c r="I341" s="218" t="s">
        <v>1517</v>
      </c>
      <c r="J341" s="218"/>
    </row>
    <row r="342" spans="1:10" ht="15.75" customHeight="1" x14ac:dyDescent="0.45">
      <c r="A342" s="226"/>
      <c r="B342" s="226"/>
      <c r="C342" s="216"/>
      <c r="D342" s="216"/>
      <c r="E342" s="216"/>
      <c r="F342" s="216"/>
      <c r="G342" s="217"/>
      <c r="H342" s="218"/>
      <c r="I342" s="218" t="s">
        <v>1517</v>
      </c>
      <c r="J342" s="218"/>
    </row>
    <row r="343" spans="1:10" ht="15.75" customHeight="1" x14ac:dyDescent="0.45">
      <c r="A343" s="226"/>
      <c r="B343" s="226"/>
      <c r="C343" s="216"/>
      <c r="D343" s="216"/>
      <c r="E343" s="216"/>
      <c r="F343" s="216"/>
      <c r="G343" s="217"/>
      <c r="H343" s="218"/>
      <c r="I343" s="218" t="s">
        <v>1517</v>
      </c>
      <c r="J343" s="218"/>
    </row>
    <row r="344" spans="1:10" ht="15.75" customHeight="1" x14ac:dyDescent="0.45">
      <c r="A344" s="226"/>
      <c r="B344" s="226"/>
      <c r="C344" s="216"/>
      <c r="D344" s="216"/>
      <c r="E344" s="216"/>
      <c r="F344" s="216"/>
      <c r="G344" s="217"/>
      <c r="H344" s="218"/>
      <c r="I344" s="218" t="s">
        <v>1517</v>
      </c>
      <c r="J344" s="218"/>
    </row>
    <row r="345" spans="1:10" ht="15.75" customHeight="1" x14ac:dyDescent="0.45">
      <c r="A345" s="226"/>
      <c r="B345" s="226"/>
      <c r="C345" s="216"/>
      <c r="D345" s="216"/>
      <c r="E345" s="216"/>
      <c r="F345" s="216"/>
      <c r="G345" s="217"/>
      <c r="H345" s="218"/>
      <c r="I345" s="218" t="s">
        <v>1517</v>
      </c>
      <c r="J345" s="218"/>
    </row>
    <row r="346" spans="1:10" ht="15.75" customHeight="1" x14ac:dyDescent="0.45">
      <c r="A346" s="226"/>
      <c r="B346" s="226"/>
      <c r="C346" s="216"/>
      <c r="D346" s="216"/>
      <c r="E346" s="216"/>
      <c r="F346" s="216"/>
      <c r="G346" s="217"/>
      <c r="H346" s="218"/>
      <c r="I346" s="218" t="s">
        <v>1517</v>
      </c>
      <c r="J346" s="218"/>
    </row>
    <row r="347" spans="1:10" ht="15.75" customHeight="1" x14ac:dyDescent="0.45">
      <c r="A347" s="226"/>
      <c r="B347" s="226"/>
      <c r="C347" s="216"/>
      <c r="D347" s="216"/>
      <c r="E347" s="216"/>
      <c r="F347" s="216"/>
      <c r="G347" s="217"/>
      <c r="H347" s="218"/>
      <c r="I347" s="218" t="s">
        <v>1517</v>
      </c>
      <c r="J347" s="218"/>
    </row>
    <row r="348" spans="1:10" ht="15.75" customHeight="1" x14ac:dyDescent="0.45">
      <c r="A348" s="226"/>
      <c r="B348" s="226"/>
      <c r="C348" s="216"/>
      <c r="D348" s="216"/>
      <c r="E348" s="216"/>
      <c r="F348" s="216"/>
      <c r="G348" s="217"/>
      <c r="H348" s="218"/>
      <c r="I348" s="218" t="s">
        <v>1517</v>
      </c>
      <c r="J348" s="218"/>
    </row>
    <row r="349" spans="1:10" ht="15.75" customHeight="1" x14ac:dyDescent="0.45">
      <c r="A349" s="226"/>
      <c r="B349" s="226"/>
      <c r="C349" s="216"/>
      <c r="D349" s="216"/>
      <c r="E349" s="216"/>
      <c r="F349" s="216"/>
      <c r="G349" s="217"/>
      <c r="H349" s="218"/>
      <c r="I349" s="218" t="s">
        <v>1517</v>
      </c>
      <c r="J349" s="218"/>
    </row>
    <row r="350" spans="1:10" ht="15.75" customHeight="1" x14ac:dyDescent="0.45">
      <c r="A350" s="226"/>
      <c r="B350" s="226"/>
      <c r="C350" s="216"/>
      <c r="D350" s="216"/>
      <c r="E350" s="216"/>
      <c r="F350" s="216"/>
      <c r="G350" s="217"/>
      <c r="H350" s="218"/>
      <c r="I350" s="218" t="s">
        <v>1517</v>
      </c>
      <c r="J350" s="218"/>
    </row>
    <row r="351" spans="1:10" ht="15.75" customHeight="1" x14ac:dyDescent="0.45">
      <c r="A351" s="226"/>
      <c r="B351" s="226"/>
      <c r="C351" s="216"/>
      <c r="D351" s="216"/>
      <c r="E351" s="216"/>
      <c r="F351" s="216"/>
      <c r="G351" s="217"/>
      <c r="H351" s="218"/>
      <c r="I351" s="218" t="s">
        <v>1517</v>
      </c>
      <c r="J351" s="218"/>
    </row>
    <row r="352" spans="1:10" ht="15.75" customHeight="1" x14ac:dyDescent="0.45">
      <c r="A352" s="226"/>
      <c r="B352" s="226"/>
      <c r="C352" s="216"/>
      <c r="D352" s="216"/>
      <c r="E352" s="216"/>
      <c r="F352" s="216"/>
      <c r="G352" s="217"/>
      <c r="H352" s="218"/>
      <c r="I352" s="218" t="s">
        <v>1517</v>
      </c>
      <c r="J352" s="218"/>
    </row>
    <row r="353" spans="1:10" ht="15.75" customHeight="1" x14ac:dyDescent="0.45">
      <c r="A353" s="226"/>
      <c r="B353" s="226"/>
      <c r="C353" s="216"/>
      <c r="D353" s="216"/>
      <c r="E353" s="216"/>
      <c r="F353" s="216"/>
      <c r="G353" s="217"/>
      <c r="H353" s="218"/>
      <c r="I353" s="218" t="s">
        <v>1517</v>
      </c>
      <c r="J353" s="218"/>
    </row>
    <row r="354" spans="1:10" ht="15.75" customHeight="1" x14ac:dyDescent="0.45">
      <c r="A354" s="226"/>
      <c r="B354" s="226"/>
      <c r="C354" s="216"/>
      <c r="D354" s="216"/>
      <c r="E354" s="216"/>
      <c r="F354" s="216"/>
      <c r="G354" s="217"/>
      <c r="H354" s="218"/>
      <c r="I354" s="218" t="s">
        <v>1517</v>
      </c>
      <c r="J354" s="218"/>
    </row>
    <row r="355" spans="1:10" ht="15.75" customHeight="1" x14ac:dyDescent="0.45">
      <c r="A355" s="226"/>
      <c r="B355" s="226"/>
      <c r="C355" s="216"/>
      <c r="D355" s="216"/>
      <c r="E355" s="216"/>
      <c r="F355" s="216"/>
      <c r="G355" s="217"/>
      <c r="H355" s="218"/>
      <c r="I355" s="218" t="s">
        <v>1517</v>
      </c>
      <c r="J355" s="218"/>
    </row>
    <row r="356" spans="1:10" ht="15.75" customHeight="1" x14ac:dyDescent="0.45">
      <c r="A356" s="226"/>
      <c r="B356" s="226"/>
      <c r="C356" s="216"/>
      <c r="D356" s="216"/>
      <c r="E356" s="216"/>
      <c r="F356" s="216"/>
      <c r="G356" s="217"/>
      <c r="H356" s="218"/>
      <c r="I356" s="218" t="s">
        <v>1517</v>
      </c>
      <c r="J356" s="218"/>
    </row>
    <row r="357" spans="1:10" ht="15.75" customHeight="1" x14ac:dyDescent="0.45">
      <c r="A357" s="226"/>
      <c r="B357" s="226"/>
      <c r="C357" s="216"/>
      <c r="D357" s="216"/>
      <c r="E357" s="216"/>
      <c r="F357" s="216"/>
      <c r="G357" s="217"/>
      <c r="H357" s="218"/>
      <c r="I357" s="218" t="s">
        <v>1517</v>
      </c>
      <c r="J357" s="218"/>
    </row>
    <row r="358" spans="1:10" ht="15.75" customHeight="1" x14ac:dyDescent="0.45">
      <c r="A358" s="226"/>
      <c r="B358" s="226"/>
      <c r="C358" s="216"/>
      <c r="D358" s="216"/>
      <c r="E358" s="216"/>
      <c r="F358" s="216"/>
      <c r="G358" s="217"/>
      <c r="H358" s="218"/>
      <c r="I358" s="218" t="s">
        <v>1517</v>
      </c>
      <c r="J358" s="218"/>
    </row>
    <row r="359" spans="1:10" ht="15.75" customHeight="1" x14ac:dyDescent="0.45">
      <c r="A359" s="226"/>
      <c r="B359" s="226"/>
      <c r="C359" s="216"/>
      <c r="D359" s="216"/>
      <c r="E359" s="216"/>
      <c r="F359" s="216"/>
      <c r="G359" s="217"/>
      <c r="H359" s="218"/>
      <c r="I359" s="218" t="s">
        <v>1517</v>
      </c>
      <c r="J359" s="218"/>
    </row>
    <row r="360" spans="1:10" ht="15.75" customHeight="1" x14ac:dyDescent="0.45">
      <c r="A360" s="226"/>
      <c r="B360" s="226"/>
      <c r="C360" s="216"/>
      <c r="D360" s="216"/>
      <c r="E360" s="216"/>
      <c r="F360" s="216"/>
      <c r="G360" s="217"/>
      <c r="H360" s="218"/>
      <c r="I360" s="218" t="s">
        <v>1517</v>
      </c>
      <c r="J360" s="218"/>
    </row>
    <row r="361" spans="1:10" ht="15.75" customHeight="1" x14ac:dyDescent="0.45">
      <c r="A361" s="226"/>
      <c r="B361" s="226"/>
      <c r="C361" s="216"/>
      <c r="D361" s="216"/>
      <c r="E361" s="216"/>
      <c r="F361" s="216"/>
      <c r="G361" s="217"/>
      <c r="H361" s="218"/>
      <c r="I361" s="218" t="s">
        <v>1517</v>
      </c>
      <c r="J361" s="218"/>
    </row>
    <row r="362" spans="1:10" ht="15.75" customHeight="1" x14ac:dyDescent="0.45">
      <c r="A362" s="226"/>
      <c r="B362" s="226"/>
      <c r="C362" s="216"/>
      <c r="D362" s="216"/>
      <c r="E362" s="216"/>
      <c r="F362" s="216"/>
      <c r="G362" s="217"/>
      <c r="H362" s="218"/>
      <c r="I362" s="218" t="s">
        <v>1517</v>
      </c>
      <c r="J362" s="218"/>
    </row>
    <row r="363" spans="1:10" ht="15.75" customHeight="1" x14ac:dyDescent="0.45">
      <c r="A363" s="226"/>
      <c r="B363" s="226"/>
      <c r="C363" s="216"/>
      <c r="D363" s="216"/>
      <c r="E363" s="216"/>
      <c r="F363" s="216"/>
      <c r="G363" s="217"/>
      <c r="H363" s="218"/>
      <c r="I363" s="218" t="s">
        <v>1517</v>
      </c>
      <c r="J363" s="218"/>
    </row>
    <row r="364" spans="1:10" ht="15.75" customHeight="1" x14ac:dyDescent="0.45">
      <c r="A364" s="226"/>
      <c r="B364" s="226"/>
      <c r="C364" s="216"/>
      <c r="D364" s="216"/>
      <c r="E364" s="216"/>
      <c r="F364" s="216"/>
      <c r="G364" s="217"/>
      <c r="H364" s="218"/>
      <c r="I364" s="218" t="s">
        <v>1517</v>
      </c>
      <c r="J364" s="218"/>
    </row>
    <row r="365" spans="1:10" ht="15.75" customHeight="1" x14ac:dyDescent="0.45">
      <c r="A365" s="226"/>
      <c r="B365" s="226"/>
      <c r="C365" s="216"/>
      <c r="D365" s="216"/>
      <c r="E365" s="216"/>
      <c r="F365" s="216"/>
      <c r="G365" s="217"/>
      <c r="H365" s="218"/>
      <c r="I365" s="218" t="s">
        <v>1517</v>
      </c>
      <c r="J365" s="218"/>
    </row>
    <row r="366" spans="1:10" ht="15.75" customHeight="1" x14ac:dyDescent="0.45">
      <c r="A366" s="226"/>
      <c r="B366" s="226"/>
      <c r="C366" s="216"/>
      <c r="D366" s="216"/>
      <c r="E366" s="216"/>
      <c r="F366" s="216"/>
      <c r="G366" s="217"/>
      <c r="H366" s="218"/>
      <c r="I366" s="218" t="s">
        <v>1517</v>
      </c>
      <c r="J366" s="218"/>
    </row>
    <row r="367" spans="1:10" ht="15.75" customHeight="1" x14ac:dyDescent="0.45">
      <c r="A367" s="226"/>
      <c r="B367" s="226"/>
      <c r="C367" s="216"/>
      <c r="D367" s="216"/>
      <c r="E367" s="216"/>
      <c r="F367" s="216"/>
      <c r="G367" s="217"/>
      <c r="H367" s="218"/>
      <c r="I367" s="218" t="s">
        <v>1517</v>
      </c>
      <c r="J367" s="218"/>
    </row>
    <row r="368" spans="1:10" ht="15.75" customHeight="1" x14ac:dyDescent="0.45">
      <c r="A368" s="226"/>
      <c r="B368" s="226"/>
      <c r="C368" s="216"/>
      <c r="D368" s="216"/>
      <c r="E368" s="216"/>
      <c r="F368" s="216"/>
      <c r="G368" s="217"/>
      <c r="H368" s="218"/>
      <c r="I368" s="218" t="s">
        <v>1517</v>
      </c>
      <c r="J368" s="218"/>
    </row>
    <row r="369" spans="1:10" ht="15.75" customHeight="1" x14ac:dyDescent="0.45">
      <c r="A369" s="226"/>
      <c r="B369" s="226"/>
      <c r="C369" s="216"/>
      <c r="D369" s="216"/>
      <c r="E369" s="216"/>
      <c r="F369" s="216"/>
      <c r="G369" s="217"/>
      <c r="H369" s="218"/>
      <c r="I369" s="218" t="s">
        <v>1517</v>
      </c>
      <c r="J369" s="218"/>
    </row>
    <row r="370" spans="1:10" ht="15.75" customHeight="1" x14ac:dyDescent="0.45">
      <c r="A370" s="226"/>
      <c r="B370" s="226"/>
      <c r="C370" s="216"/>
      <c r="D370" s="216"/>
      <c r="E370" s="216"/>
      <c r="F370" s="216"/>
      <c r="G370" s="217"/>
      <c r="H370" s="218"/>
      <c r="I370" s="218" t="s">
        <v>1517</v>
      </c>
      <c r="J370" s="218"/>
    </row>
    <row r="371" spans="1:10" ht="15.75" customHeight="1" x14ac:dyDescent="0.45">
      <c r="A371" s="226"/>
      <c r="B371" s="226"/>
      <c r="C371" s="216"/>
      <c r="D371" s="216"/>
      <c r="E371" s="216"/>
      <c r="F371" s="216"/>
      <c r="G371" s="217"/>
      <c r="H371" s="218"/>
      <c r="I371" s="218" t="s">
        <v>1517</v>
      </c>
      <c r="J371" s="218"/>
    </row>
    <row r="372" spans="1:10" ht="15.75" customHeight="1" x14ac:dyDescent="0.45">
      <c r="A372" s="226"/>
      <c r="B372" s="226"/>
      <c r="C372" s="216"/>
      <c r="D372" s="216"/>
      <c r="E372" s="216"/>
      <c r="F372" s="216"/>
      <c r="G372" s="217"/>
      <c r="H372" s="218"/>
      <c r="I372" s="218" t="s">
        <v>1517</v>
      </c>
      <c r="J372" s="218"/>
    </row>
    <row r="373" spans="1:10" ht="15.75" customHeight="1" x14ac:dyDescent="0.45">
      <c r="A373" s="226"/>
      <c r="B373" s="226"/>
      <c r="C373" s="216"/>
      <c r="D373" s="216"/>
      <c r="E373" s="216"/>
      <c r="F373" s="216"/>
      <c r="G373" s="217"/>
      <c r="H373" s="218"/>
      <c r="I373" s="218" t="s">
        <v>1517</v>
      </c>
      <c r="J373" s="218"/>
    </row>
    <row r="374" spans="1:10" ht="15.75" customHeight="1" x14ac:dyDescent="0.45">
      <c r="A374" s="226"/>
      <c r="B374" s="226"/>
      <c r="C374" s="216"/>
      <c r="D374" s="216"/>
      <c r="E374" s="216"/>
      <c r="F374" s="216"/>
      <c r="G374" s="217"/>
      <c r="H374" s="218"/>
      <c r="I374" s="218" t="s">
        <v>1517</v>
      </c>
      <c r="J374" s="218"/>
    </row>
    <row r="375" spans="1:10" ht="15.75" customHeight="1" x14ac:dyDescent="0.45">
      <c r="A375" s="226"/>
      <c r="B375" s="226"/>
      <c r="C375" s="216"/>
      <c r="D375" s="216"/>
      <c r="E375" s="216"/>
      <c r="F375" s="216"/>
      <c r="G375" s="217"/>
      <c r="H375" s="218"/>
      <c r="I375" s="218" t="s">
        <v>1517</v>
      </c>
      <c r="J375" s="218"/>
    </row>
    <row r="376" spans="1:10" ht="15.75" customHeight="1" x14ac:dyDescent="0.45">
      <c r="A376" s="226"/>
      <c r="B376" s="226"/>
      <c r="C376" s="216"/>
      <c r="D376" s="216"/>
      <c r="E376" s="216"/>
      <c r="F376" s="216"/>
      <c r="G376" s="217"/>
      <c r="H376" s="218"/>
      <c r="I376" s="218" t="s">
        <v>1517</v>
      </c>
      <c r="J376" s="218"/>
    </row>
    <row r="377" spans="1:10" ht="15.75" customHeight="1" x14ac:dyDescent="0.45">
      <c r="A377" s="226"/>
      <c r="B377" s="226"/>
      <c r="C377" s="216"/>
      <c r="D377" s="216"/>
      <c r="E377" s="216"/>
      <c r="F377" s="216"/>
      <c r="G377" s="217"/>
      <c r="H377" s="218"/>
      <c r="I377" s="218" t="s">
        <v>1517</v>
      </c>
      <c r="J377" s="218"/>
    </row>
    <row r="378" spans="1:10" ht="15.75" customHeight="1" x14ac:dyDescent="0.45">
      <c r="A378" s="226"/>
      <c r="B378" s="226"/>
      <c r="C378" s="216"/>
      <c r="D378" s="216"/>
      <c r="E378" s="216"/>
      <c r="F378" s="216"/>
      <c r="G378" s="217"/>
      <c r="H378" s="218"/>
      <c r="I378" s="218" t="s">
        <v>1517</v>
      </c>
      <c r="J378" s="218"/>
    </row>
    <row r="379" spans="1:10" ht="15.75" customHeight="1" x14ac:dyDescent="0.45">
      <c r="A379" s="226"/>
      <c r="B379" s="226"/>
      <c r="C379" s="216"/>
      <c r="D379" s="216"/>
      <c r="E379" s="216"/>
      <c r="F379" s="216"/>
      <c r="G379" s="217"/>
      <c r="H379" s="218"/>
      <c r="I379" s="218" t="s">
        <v>1517</v>
      </c>
      <c r="J379" s="218"/>
    </row>
    <row r="380" spans="1:10" ht="15.75" customHeight="1" x14ac:dyDescent="0.45">
      <c r="A380" s="226"/>
      <c r="B380" s="226"/>
      <c r="C380" s="216"/>
      <c r="D380" s="216"/>
      <c r="E380" s="216"/>
      <c r="F380" s="216"/>
      <c r="G380" s="217"/>
      <c r="H380" s="218"/>
      <c r="I380" s="218" t="s">
        <v>1517</v>
      </c>
      <c r="J380" s="218"/>
    </row>
    <row r="381" spans="1:10" ht="15.75" customHeight="1" x14ac:dyDescent="0.45">
      <c r="A381" s="226"/>
      <c r="B381" s="226"/>
      <c r="C381" s="216"/>
      <c r="D381" s="216"/>
      <c r="E381" s="216"/>
      <c r="F381" s="216"/>
      <c r="G381" s="217"/>
      <c r="H381" s="218"/>
      <c r="I381" s="218" t="s">
        <v>1517</v>
      </c>
      <c r="J381" s="218"/>
    </row>
    <row r="382" spans="1:10" ht="15.75" customHeight="1" x14ac:dyDescent="0.45">
      <c r="A382" s="226"/>
      <c r="B382" s="226"/>
      <c r="C382" s="216"/>
      <c r="D382" s="216"/>
      <c r="E382" s="216"/>
      <c r="F382" s="216"/>
      <c r="G382" s="217"/>
      <c r="H382" s="218"/>
      <c r="I382" s="218" t="s">
        <v>1517</v>
      </c>
      <c r="J382" s="218"/>
    </row>
    <row r="383" spans="1:10" ht="15.75" customHeight="1" x14ac:dyDescent="0.45">
      <c r="A383" s="226"/>
      <c r="B383" s="226"/>
      <c r="C383" s="216"/>
      <c r="D383" s="216"/>
      <c r="E383" s="216"/>
      <c r="F383" s="216"/>
      <c r="G383" s="217"/>
      <c r="H383" s="218"/>
      <c r="I383" s="218" t="s">
        <v>1517</v>
      </c>
      <c r="J383" s="218"/>
    </row>
    <row r="384" spans="1:10" ht="15.75" customHeight="1" x14ac:dyDescent="0.45">
      <c r="A384" s="226"/>
      <c r="B384" s="226"/>
      <c r="C384" s="216"/>
      <c r="D384" s="216"/>
      <c r="E384" s="216"/>
      <c r="F384" s="216"/>
      <c r="G384" s="217"/>
      <c r="H384" s="218"/>
      <c r="I384" s="218" t="s">
        <v>1517</v>
      </c>
      <c r="J384" s="218"/>
    </row>
    <row r="385" spans="1:10" ht="15.75" customHeight="1" x14ac:dyDescent="0.45">
      <c r="A385" s="226"/>
      <c r="B385" s="226"/>
      <c r="C385" s="216"/>
      <c r="D385" s="216"/>
      <c r="E385" s="216"/>
      <c r="F385" s="216"/>
      <c r="G385" s="217"/>
      <c r="H385" s="218"/>
      <c r="I385" s="218" t="s">
        <v>1517</v>
      </c>
      <c r="J385" s="218"/>
    </row>
    <row r="386" spans="1:10" ht="15.75" customHeight="1" x14ac:dyDescent="0.45">
      <c r="A386" s="226"/>
      <c r="B386" s="226"/>
      <c r="C386" s="216"/>
      <c r="D386" s="216"/>
      <c r="E386" s="216"/>
      <c r="F386" s="216"/>
      <c r="G386" s="217"/>
      <c r="H386" s="218"/>
      <c r="I386" s="218" t="s">
        <v>1517</v>
      </c>
      <c r="J386" s="218"/>
    </row>
    <row r="387" spans="1:10" ht="15.75" customHeight="1" x14ac:dyDescent="0.45">
      <c r="A387" s="226"/>
      <c r="B387" s="226"/>
      <c r="C387" s="216"/>
      <c r="D387" s="216"/>
      <c r="E387" s="216"/>
      <c r="F387" s="216"/>
      <c r="G387" s="217"/>
      <c r="H387" s="218"/>
      <c r="I387" s="218" t="s">
        <v>1517</v>
      </c>
      <c r="J387" s="218"/>
    </row>
    <row r="388" spans="1:10" ht="15.75" customHeight="1" x14ac:dyDescent="0.45">
      <c r="A388" s="226"/>
      <c r="B388" s="226"/>
      <c r="C388" s="216"/>
      <c r="D388" s="216"/>
      <c r="E388" s="216"/>
      <c r="F388" s="216"/>
      <c r="G388" s="217"/>
      <c r="H388" s="218"/>
      <c r="I388" s="218" t="s">
        <v>1517</v>
      </c>
      <c r="J388" s="218"/>
    </row>
    <row r="389" spans="1:10" ht="15.75" customHeight="1" x14ac:dyDescent="0.45">
      <c r="A389" s="226"/>
      <c r="B389" s="226"/>
      <c r="C389" s="216"/>
      <c r="D389" s="216"/>
      <c r="E389" s="216"/>
      <c r="F389" s="216"/>
      <c r="G389" s="217"/>
      <c r="H389" s="218"/>
      <c r="I389" s="218" t="s">
        <v>1517</v>
      </c>
      <c r="J389" s="218"/>
    </row>
    <row r="390" spans="1:10" ht="15.75" customHeight="1" x14ac:dyDescent="0.45">
      <c r="A390" s="226"/>
      <c r="B390" s="226"/>
      <c r="C390" s="216"/>
      <c r="D390" s="216"/>
      <c r="E390" s="216"/>
      <c r="F390" s="216"/>
      <c r="G390" s="217"/>
      <c r="H390" s="218"/>
      <c r="I390" s="218" t="s">
        <v>1517</v>
      </c>
      <c r="J390" s="218"/>
    </row>
    <row r="391" spans="1:10" ht="15.75" customHeight="1" x14ac:dyDescent="0.45">
      <c r="A391" s="226"/>
      <c r="B391" s="226"/>
      <c r="C391" s="216"/>
      <c r="D391" s="216"/>
      <c r="E391" s="216"/>
      <c r="F391" s="216"/>
      <c r="G391" s="217"/>
      <c r="H391" s="218"/>
      <c r="I391" s="218" t="s">
        <v>1517</v>
      </c>
      <c r="J391" s="218"/>
    </row>
    <row r="392" spans="1:10" ht="15.75" customHeight="1" x14ac:dyDescent="0.45">
      <c r="A392" s="226"/>
      <c r="B392" s="226"/>
      <c r="C392" s="216"/>
      <c r="D392" s="216"/>
      <c r="E392" s="216"/>
      <c r="F392" s="216"/>
      <c r="G392" s="217"/>
      <c r="H392" s="218"/>
      <c r="I392" s="218" t="s">
        <v>1517</v>
      </c>
      <c r="J392" s="218"/>
    </row>
    <row r="393" spans="1:10" ht="15.75" customHeight="1" x14ac:dyDescent="0.45">
      <c r="A393" s="226"/>
      <c r="B393" s="226"/>
      <c r="C393" s="216"/>
      <c r="D393" s="216"/>
      <c r="E393" s="216"/>
      <c r="F393" s="216"/>
      <c r="G393" s="217"/>
      <c r="H393" s="218"/>
      <c r="I393" s="218" t="s">
        <v>1517</v>
      </c>
      <c r="J393" s="218"/>
    </row>
    <row r="394" spans="1:10" ht="15.75" customHeight="1" x14ac:dyDescent="0.45">
      <c r="A394" s="226"/>
      <c r="B394" s="226"/>
      <c r="C394" s="216"/>
      <c r="D394" s="216"/>
      <c r="E394" s="216"/>
      <c r="F394" s="216"/>
      <c r="G394" s="217"/>
      <c r="H394" s="218"/>
      <c r="I394" s="218" t="s">
        <v>1517</v>
      </c>
      <c r="J394" s="218"/>
    </row>
    <row r="395" spans="1:10" ht="15.75" customHeight="1" x14ac:dyDescent="0.45">
      <c r="A395" s="226"/>
      <c r="B395" s="226"/>
      <c r="C395" s="216"/>
      <c r="D395" s="216"/>
      <c r="E395" s="216"/>
      <c r="F395" s="216"/>
      <c r="G395" s="217"/>
      <c r="H395" s="218"/>
      <c r="I395" s="218" t="s">
        <v>1517</v>
      </c>
      <c r="J395" s="218"/>
    </row>
    <row r="396" spans="1:10" ht="15.75" customHeight="1" x14ac:dyDescent="0.45">
      <c r="A396" s="226"/>
      <c r="B396" s="226"/>
      <c r="C396" s="216"/>
      <c r="D396" s="216"/>
      <c r="E396" s="216"/>
      <c r="F396" s="216"/>
      <c r="G396" s="217"/>
      <c r="H396" s="218"/>
      <c r="I396" s="218" t="s">
        <v>1517</v>
      </c>
      <c r="J396" s="218"/>
    </row>
    <row r="397" spans="1:10" ht="15.75" customHeight="1" x14ac:dyDescent="0.45">
      <c r="A397" s="226"/>
      <c r="B397" s="226"/>
      <c r="C397" s="216"/>
      <c r="D397" s="216"/>
      <c r="E397" s="216"/>
      <c r="F397" s="216"/>
      <c r="G397" s="217"/>
      <c r="H397" s="218"/>
      <c r="I397" s="218" t="s">
        <v>1517</v>
      </c>
      <c r="J397" s="218"/>
    </row>
    <row r="398" spans="1:10" ht="15.75" customHeight="1" x14ac:dyDescent="0.45">
      <c r="A398" s="226"/>
      <c r="B398" s="226"/>
      <c r="C398" s="216"/>
      <c r="D398" s="216"/>
      <c r="E398" s="216"/>
      <c r="F398" s="216"/>
      <c r="G398" s="217"/>
      <c r="H398" s="218"/>
      <c r="I398" s="218" t="s">
        <v>1517</v>
      </c>
      <c r="J398" s="218"/>
    </row>
    <row r="399" spans="1:10" ht="15.75" customHeight="1" x14ac:dyDescent="0.45">
      <c r="A399" s="226"/>
      <c r="B399" s="226"/>
      <c r="C399" s="216"/>
      <c r="D399" s="216"/>
      <c r="E399" s="216"/>
      <c r="F399" s="216"/>
      <c r="G399" s="217"/>
      <c r="H399" s="218"/>
      <c r="I399" s="218" t="s">
        <v>1517</v>
      </c>
      <c r="J399" s="218"/>
    </row>
    <row r="400" spans="1:10" ht="15.75" customHeight="1" x14ac:dyDescent="0.45">
      <c r="A400" s="226"/>
      <c r="B400" s="226"/>
      <c r="C400" s="216"/>
      <c r="D400" s="216"/>
      <c r="E400" s="216"/>
      <c r="F400" s="216"/>
      <c r="G400" s="217"/>
      <c r="H400" s="218"/>
      <c r="I400" s="218" t="s">
        <v>1517</v>
      </c>
      <c r="J400" s="218"/>
    </row>
    <row r="401" spans="1:10" ht="15.75" customHeight="1" x14ac:dyDescent="0.45">
      <c r="A401" s="226"/>
      <c r="B401" s="226"/>
      <c r="C401" s="216"/>
      <c r="D401" s="216"/>
      <c r="E401" s="216"/>
      <c r="F401" s="216"/>
      <c r="G401" s="217"/>
      <c r="H401" s="218"/>
      <c r="I401" s="218" t="s">
        <v>1517</v>
      </c>
      <c r="J401" s="218"/>
    </row>
    <row r="402" spans="1:10" ht="15.75" customHeight="1" x14ac:dyDescent="0.45">
      <c r="A402" s="226"/>
      <c r="B402" s="226"/>
      <c r="C402" s="216"/>
      <c r="D402" s="216"/>
      <c r="E402" s="216"/>
      <c r="F402" s="216"/>
      <c r="G402" s="217"/>
      <c r="H402" s="218"/>
      <c r="I402" s="218" t="s">
        <v>1517</v>
      </c>
      <c r="J402" s="218"/>
    </row>
    <row r="403" spans="1:10" ht="15.75" customHeight="1" x14ac:dyDescent="0.45">
      <c r="A403" s="226"/>
      <c r="B403" s="226"/>
      <c r="C403" s="216"/>
      <c r="D403" s="216"/>
      <c r="E403" s="216"/>
      <c r="F403" s="216"/>
      <c r="G403" s="217"/>
      <c r="H403" s="218"/>
      <c r="I403" s="218" t="s">
        <v>1517</v>
      </c>
      <c r="J403" s="218"/>
    </row>
    <row r="404" spans="1:10" ht="15.75" customHeight="1" x14ac:dyDescent="0.45">
      <c r="A404" s="226"/>
      <c r="B404" s="226"/>
      <c r="C404" s="216"/>
      <c r="D404" s="216"/>
      <c r="E404" s="216"/>
      <c r="F404" s="216"/>
      <c r="G404" s="217"/>
      <c r="H404" s="218"/>
      <c r="I404" s="218" t="s">
        <v>1517</v>
      </c>
      <c r="J404" s="218"/>
    </row>
    <row r="405" spans="1:10" ht="15.75" customHeight="1" x14ac:dyDescent="0.45">
      <c r="A405" s="226"/>
      <c r="B405" s="226"/>
      <c r="C405" s="216"/>
      <c r="D405" s="216"/>
      <c r="E405" s="216"/>
      <c r="F405" s="216"/>
      <c r="G405" s="217"/>
      <c r="H405" s="218"/>
      <c r="I405" s="218" t="s">
        <v>1517</v>
      </c>
      <c r="J405" s="218"/>
    </row>
    <row r="406" spans="1:10" ht="15.75" customHeight="1" x14ac:dyDescent="0.45">
      <c r="A406" s="226"/>
      <c r="B406" s="226"/>
      <c r="C406" s="216"/>
      <c r="D406" s="216"/>
      <c r="E406" s="216"/>
      <c r="F406" s="216"/>
      <c r="G406" s="217"/>
      <c r="H406" s="218"/>
      <c r="I406" s="218" t="s">
        <v>1517</v>
      </c>
      <c r="J406" s="218"/>
    </row>
    <row r="407" spans="1:10" ht="15.75" customHeight="1" x14ac:dyDescent="0.45">
      <c r="A407" s="226"/>
      <c r="B407" s="226"/>
      <c r="C407" s="216"/>
      <c r="D407" s="216"/>
      <c r="E407" s="216"/>
      <c r="F407" s="216"/>
      <c r="G407" s="217"/>
      <c r="H407" s="218"/>
      <c r="I407" s="218" t="s">
        <v>1517</v>
      </c>
      <c r="J407" s="218"/>
    </row>
    <row r="408" spans="1:10" ht="15.75" customHeight="1" x14ac:dyDescent="0.45">
      <c r="A408" s="226"/>
      <c r="B408" s="226"/>
      <c r="C408" s="216"/>
      <c r="D408" s="216"/>
      <c r="E408" s="216"/>
      <c r="F408" s="216"/>
      <c r="G408" s="217"/>
      <c r="H408" s="218"/>
      <c r="I408" s="218" t="s">
        <v>1517</v>
      </c>
      <c r="J408" s="218"/>
    </row>
    <row r="409" spans="1:10" ht="15.75" customHeight="1" x14ac:dyDescent="0.45">
      <c r="A409" s="226"/>
      <c r="B409" s="226"/>
      <c r="C409" s="216"/>
      <c r="D409" s="216"/>
      <c r="E409" s="216"/>
      <c r="F409" s="216"/>
      <c r="G409" s="217"/>
      <c r="H409" s="218"/>
      <c r="I409" s="218" t="s">
        <v>1517</v>
      </c>
      <c r="J409" s="218"/>
    </row>
    <row r="410" spans="1:10" ht="15.75" customHeight="1" x14ac:dyDescent="0.45">
      <c r="A410" s="226"/>
      <c r="B410" s="226"/>
      <c r="C410" s="216"/>
      <c r="D410" s="216"/>
      <c r="E410" s="216"/>
      <c r="F410" s="216"/>
      <c r="G410" s="217"/>
      <c r="H410" s="218"/>
      <c r="I410" s="218" t="s">
        <v>1517</v>
      </c>
      <c r="J410" s="218"/>
    </row>
    <row r="411" spans="1:10" ht="15.75" customHeight="1" x14ac:dyDescent="0.45">
      <c r="A411" s="226"/>
      <c r="B411" s="226"/>
      <c r="C411" s="216"/>
      <c r="D411" s="216"/>
      <c r="E411" s="216"/>
      <c r="F411" s="216"/>
      <c r="G411" s="217"/>
      <c r="H411" s="218"/>
      <c r="I411" s="218" t="s">
        <v>1517</v>
      </c>
      <c r="J411" s="218"/>
    </row>
    <row r="412" spans="1:10" ht="15.75" customHeight="1" x14ac:dyDescent="0.45">
      <c r="A412" s="226"/>
      <c r="B412" s="226"/>
      <c r="C412" s="216"/>
      <c r="D412" s="216"/>
      <c r="E412" s="216"/>
      <c r="F412" s="216"/>
      <c r="G412" s="217"/>
      <c r="H412" s="218"/>
      <c r="I412" s="218" t="s">
        <v>1517</v>
      </c>
      <c r="J412" s="218"/>
    </row>
    <row r="413" spans="1:10" ht="15.75" customHeight="1" x14ac:dyDescent="0.45">
      <c r="A413" s="226"/>
      <c r="B413" s="226"/>
      <c r="C413" s="216"/>
      <c r="D413" s="216"/>
      <c r="E413" s="216"/>
      <c r="F413" s="216"/>
      <c r="G413" s="217"/>
      <c r="H413" s="218"/>
      <c r="I413" s="218" t="s">
        <v>1517</v>
      </c>
      <c r="J413" s="218"/>
    </row>
    <row r="414" spans="1:10" ht="15.75" customHeight="1" x14ac:dyDescent="0.45">
      <c r="A414" s="226"/>
      <c r="B414" s="226"/>
      <c r="C414" s="216"/>
      <c r="D414" s="216"/>
      <c r="E414" s="216"/>
      <c r="F414" s="216"/>
      <c r="G414" s="217"/>
      <c r="H414" s="218"/>
      <c r="I414" s="218" t="s">
        <v>1517</v>
      </c>
      <c r="J414" s="218"/>
    </row>
    <row r="415" spans="1:10" ht="15.75" customHeight="1" x14ac:dyDescent="0.45">
      <c r="A415" s="226"/>
      <c r="B415" s="226"/>
      <c r="C415" s="216"/>
      <c r="D415" s="216"/>
      <c r="E415" s="216"/>
      <c r="F415" s="216"/>
      <c r="G415" s="217"/>
      <c r="H415" s="218"/>
      <c r="I415" s="218" t="s">
        <v>1517</v>
      </c>
      <c r="J415" s="218"/>
    </row>
    <row r="416" spans="1:10" ht="15.75" customHeight="1" x14ac:dyDescent="0.45">
      <c r="A416" s="226"/>
      <c r="B416" s="226"/>
      <c r="C416" s="216"/>
      <c r="D416" s="216"/>
      <c r="E416" s="216"/>
      <c r="F416" s="216"/>
      <c r="G416" s="217"/>
      <c r="H416" s="218"/>
      <c r="I416" s="218" t="s">
        <v>1517</v>
      </c>
      <c r="J416" s="218"/>
    </row>
    <row r="417" spans="1:10" ht="15.75" customHeight="1" x14ac:dyDescent="0.45">
      <c r="A417" s="226"/>
      <c r="B417" s="226"/>
      <c r="C417" s="216"/>
      <c r="D417" s="216"/>
      <c r="E417" s="216"/>
      <c r="F417" s="216"/>
      <c r="G417" s="217"/>
      <c r="H417" s="218"/>
      <c r="I417" s="218" t="s">
        <v>1517</v>
      </c>
      <c r="J417" s="218"/>
    </row>
    <row r="418" spans="1:10" ht="15.75" customHeight="1" x14ac:dyDescent="0.45">
      <c r="A418" s="226"/>
      <c r="B418" s="226"/>
      <c r="C418" s="216"/>
      <c r="D418" s="216"/>
      <c r="E418" s="216"/>
      <c r="F418" s="216"/>
      <c r="G418" s="217"/>
      <c r="H418" s="218"/>
      <c r="I418" s="218" t="s">
        <v>1517</v>
      </c>
      <c r="J418" s="218"/>
    </row>
    <row r="419" spans="1:10" ht="15.75" customHeight="1" x14ac:dyDescent="0.45">
      <c r="A419" s="226"/>
      <c r="B419" s="226"/>
      <c r="C419" s="216"/>
      <c r="D419" s="216"/>
      <c r="E419" s="216"/>
      <c r="F419" s="216"/>
      <c r="G419" s="217"/>
      <c r="H419" s="218"/>
      <c r="I419" s="218" t="s">
        <v>1517</v>
      </c>
      <c r="J419" s="218"/>
    </row>
    <row r="420" spans="1:10" ht="15.75" customHeight="1" x14ac:dyDescent="0.45">
      <c r="A420" s="226"/>
      <c r="B420" s="226"/>
      <c r="C420" s="216"/>
      <c r="D420" s="216"/>
      <c r="E420" s="216"/>
      <c r="F420" s="216"/>
      <c r="G420" s="217"/>
      <c r="H420" s="218"/>
      <c r="I420" s="218" t="s">
        <v>1517</v>
      </c>
      <c r="J420" s="218"/>
    </row>
    <row r="421" spans="1:10" ht="15.75" customHeight="1" x14ac:dyDescent="0.45">
      <c r="A421" s="226"/>
      <c r="B421" s="226"/>
      <c r="C421" s="216"/>
      <c r="D421" s="216"/>
      <c r="E421" s="216"/>
      <c r="F421" s="216"/>
      <c r="G421" s="217"/>
      <c r="H421" s="218"/>
      <c r="I421" s="218" t="s">
        <v>1517</v>
      </c>
      <c r="J421" s="218"/>
    </row>
    <row r="422" spans="1:10" ht="15.75" customHeight="1" x14ac:dyDescent="0.45">
      <c r="A422" s="226"/>
      <c r="B422" s="226"/>
      <c r="C422" s="216"/>
      <c r="D422" s="216"/>
      <c r="E422" s="216"/>
      <c r="F422" s="216"/>
      <c r="G422" s="217"/>
      <c r="H422" s="218"/>
      <c r="I422" s="218" t="s">
        <v>1517</v>
      </c>
      <c r="J422" s="218"/>
    </row>
    <row r="423" spans="1:10" ht="15.75" customHeight="1" x14ac:dyDescent="0.45">
      <c r="A423" s="226"/>
      <c r="B423" s="226"/>
      <c r="C423" s="216"/>
      <c r="D423" s="216"/>
      <c r="E423" s="216"/>
      <c r="F423" s="216"/>
      <c r="G423" s="217"/>
      <c r="H423" s="218"/>
      <c r="I423" s="218" t="s">
        <v>1517</v>
      </c>
      <c r="J423" s="218"/>
    </row>
    <row r="424" spans="1:10" ht="15.75" customHeight="1" x14ac:dyDescent="0.45">
      <c r="A424" s="226"/>
      <c r="B424" s="226"/>
      <c r="C424" s="216"/>
      <c r="D424" s="216"/>
      <c r="E424" s="216"/>
      <c r="F424" s="216"/>
      <c r="G424" s="217"/>
      <c r="H424" s="218"/>
      <c r="I424" s="218" t="s">
        <v>1517</v>
      </c>
      <c r="J424" s="218"/>
    </row>
    <row r="425" spans="1:10" ht="15.75" customHeight="1" x14ac:dyDescent="0.45">
      <c r="A425" s="226"/>
      <c r="B425" s="226"/>
      <c r="C425" s="216"/>
      <c r="D425" s="216"/>
      <c r="E425" s="216"/>
      <c r="F425" s="216"/>
      <c r="G425" s="217"/>
      <c r="H425" s="218"/>
      <c r="I425" s="218" t="s">
        <v>1517</v>
      </c>
      <c r="J425" s="218"/>
    </row>
    <row r="426" spans="1:10" ht="15.75" customHeight="1" x14ac:dyDescent="0.45">
      <c r="A426" s="226"/>
      <c r="B426" s="226"/>
      <c r="C426" s="216"/>
      <c r="D426" s="216"/>
      <c r="E426" s="216"/>
      <c r="F426" s="216"/>
      <c r="G426" s="217"/>
      <c r="H426" s="218"/>
      <c r="I426" s="218" t="s">
        <v>1517</v>
      </c>
      <c r="J426" s="218"/>
    </row>
    <row r="427" spans="1:10" ht="15.75" customHeight="1" x14ac:dyDescent="0.45">
      <c r="A427" s="226"/>
      <c r="B427" s="226"/>
      <c r="C427" s="216"/>
      <c r="D427" s="216"/>
      <c r="E427" s="216"/>
      <c r="F427" s="216"/>
      <c r="G427" s="217"/>
      <c r="H427" s="218"/>
      <c r="I427" s="218" t="s">
        <v>1517</v>
      </c>
      <c r="J427" s="218"/>
    </row>
    <row r="428" spans="1:10" ht="15.75" customHeight="1" x14ac:dyDescent="0.45">
      <c r="A428" s="226"/>
      <c r="B428" s="226"/>
      <c r="C428" s="216"/>
      <c r="D428" s="216"/>
      <c r="E428" s="216"/>
      <c r="F428" s="216"/>
      <c r="G428" s="217"/>
      <c r="H428" s="218"/>
      <c r="I428" s="218" t="s">
        <v>1517</v>
      </c>
      <c r="J428" s="218"/>
    </row>
    <row r="429" spans="1:10" ht="15.75" customHeight="1" x14ac:dyDescent="0.45">
      <c r="A429" s="226"/>
      <c r="B429" s="226"/>
      <c r="C429" s="216"/>
      <c r="D429" s="216"/>
      <c r="E429" s="216"/>
      <c r="F429" s="216"/>
      <c r="G429" s="217"/>
      <c r="H429" s="218"/>
      <c r="I429" s="218" t="s">
        <v>1517</v>
      </c>
      <c r="J429" s="218"/>
    </row>
    <row r="430" spans="1:10" ht="15.75" customHeight="1" x14ac:dyDescent="0.45">
      <c r="A430" s="226"/>
      <c r="B430" s="226"/>
      <c r="C430" s="216"/>
      <c r="D430" s="216"/>
      <c r="E430" s="216"/>
      <c r="F430" s="216"/>
      <c r="G430" s="217"/>
      <c r="H430" s="218"/>
      <c r="I430" s="218" t="s">
        <v>1517</v>
      </c>
      <c r="J430" s="218"/>
    </row>
    <row r="431" spans="1:10" ht="15.75" customHeight="1" x14ac:dyDescent="0.45">
      <c r="A431" s="226"/>
      <c r="B431" s="226"/>
      <c r="C431" s="216"/>
      <c r="D431" s="216"/>
      <c r="E431" s="216"/>
      <c r="F431" s="216"/>
      <c r="G431" s="217"/>
      <c r="H431" s="218"/>
      <c r="I431" s="218" t="s">
        <v>1517</v>
      </c>
      <c r="J431" s="218"/>
    </row>
    <row r="432" spans="1:10" ht="15.75" customHeight="1" x14ac:dyDescent="0.45">
      <c r="A432" s="226"/>
      <c r="B432" s="226"/>
      <c r="C432" s="216"/>
      <c r="D432" s="216"/>
      <c r="E432" s="216"/>
      <c r="F432" s="216"/>
      <c r="G432" s="217"/>
      <c r="H432" s="218"/>
      <c r="I432" s="218" t="s">
        <v>1517</v>
      </c>
      <c r="J432" s="218"/>
    </row>
    <row r="433" spans="1:10" ht="15.75" customHeight="1" x14ac:dyDescent="0.45">
      <c r="A433" s="226"/>
      <c r="B433" s="226"/>
      <c r="C433" s="216"/>
      <c r="D433" s="216"/>
      <c r="E433" s="216"/>
      <c r="F433" s="216"/>
      <c r="G433" s="217"/>
      <c r="H433" s="218"/>
      <c r="I433" s="218" t="s">
        <v>1517</v>
      </c>
      <c r="J433" s="218"/>
    </row>
    <row r="434" spans="1:10" ht="15.75" customHeight="1" x14ac:dyDescent="0.45">
      <c r="A434" s="226"/>
      <c r="B434" s="226"/>
      <c r="C434" s="216"/>
      <c r="D434" s="216"/>
      <c r="E434" s="216"/>
      <c r="F434" s="216"/>
      <c r="G434" s="217"/>
      <c r="H434" s="218"/>
      <c r="I434" s="218" t="s">
        <v>1517</v>
      </c>
      <c r="J434" s="218"/>
    </row>
    <row r="435" spans="1:10" ht="15.75" customHeight="1" x14ac:dyDescent="0.45">
      <c r="A435" s="226"/>
      <c r="B435" s="226"/>
      <c r="C435" s="216"/>
      <c r="D435" s="216"/>
      <c r="E435" s="216"/>
      <c r="F435" s="216"/>
      <c r="G435" s="217"/>
      <c r="H435" s="218"/>
      <c r="I435" s="218" t="s">
        <v>1517</v>
      </c>
      <c r="J435" s="218"/>
    </row>
    <row r="436" spans="1:10" ht="15.75" customHeight="1" x14ac:dyDescent="0.45">
      <c r="A436" s="226"/>
      <c r="B436" s="226"/>
      <c r="C436" s="216"/>
      <c r="D436" s="216"/>
      <c r="E436" s="216"/>
      <c r="F436" s="216"/>
      <c r="G436" s="217"/>
      <c r="H436" s="218"/>
      <c r="I436" s="218" t="s">
        <v>1517</v>
      </c>
      <c r="J436" s="218"/>
    </row>
    <row r="437" spans="1:10" ht="15.75" customHeight="1" x14ac:dyDescent="0.45">
      <c r="A437" s="226"/>
      <c r="B437" s="226"/>
      <c r="C437" s="216"/>
      <c r="D437" s="216"/>
      <c r="E437" s="216"/>
      <c r="F437" s="216"/>
      <c r="G437" s="217"/>
      <c r="H437" s="218"/>
      <c r="I437" s="218" t="s">
        <v>1517</v>
      </c>
      <c r="J437" s="218"/>
    </row>
    <row r="438" spans="1:10" ht="15.75" customHeight="1" x14ac:dyDescent="0.45">
      <c r="A438" s="226"/>
      <c r="B438" s="226"/>
      <c r="C438" s="216"/>
      <c r="D438" s="216"/>
      <c r="E438" s="216"/>
      <c r="F438" s="216"/>
      <c r="G438" s="217"/>
      <c r="H438" s="218"/>
      <c r="I438" s="218" t="s">
        <v>1517</v>
      </c>
      <c r="J438" s="218"/>
    </row>
    <row r="439" spans="1:10" ht="15.75" customHeight="1" x14ac:dyDescent="0.45">
      <c r="A439" s="226"/>
      <c r="B439" s="226"/>
      <c r="C439" s="216"/>
      <c r="D439" s="216"/>
      <c r="E439" s="216"/>
      <c r="F439" s="216"/>
      <c r="G439" s="217"/>
      <c r="H439" s="218"/>
      <c r="I439" s="218" t="s">
        <v>1517</v>
      </c>
      <c r="J439" s="218"/>
    </row>
    <row r="440" spans="1:10" ht="15.75" customHeight="1" x14ac:dyDescent="0.45">
      <c r="A440" s="226"/>
      <c r="B440" s="226"/>
      <c r="C440" s="216"/>
      <c r="D440" s="216"/>
      <c r="E440" s="216"/>
      <c r="F440" s="216"/>
      <c r="G440" s="217"/>
      <c r="H440" s="218"/>
      <c r="I440" s="218" t="s">
        <v>1517</v>
      </c>
      <c r="J440" s="218"/>
    </row>
    <row r="441" spans="1:10" ht="15.75" customHeight="1" x14ac:dyDescent="0.45">
      <c r="A441" s="226"/>
      <c r="B441" s="226"/>
      <c r="C441" s="216"/>
      <c r="D441" s="216"/>
      <c r="E441" s="216"/>
      <c r="F441" s="216"/>
      <c r="G441" s="217"/>
      <c r="H441" s="218"/>
      <c r="I441" s="218" t="s">
        <v>1517</v>
      </c>
      <c r="J441" s="218"/>
    </row>
    <row r="442" spans="1:10" ht="15.75" customHeight="1" x14ac:dyDescent="0.45">
      <c r="A442" s="226"/>
      <c r="B442" s="226"/>
      <c r="C442" s="216"/>
      <c r="D442" s="216"/>
      <c r="E442" s="216"/>
      <c r="F442" s="216"/>
      <c r="G442" s="217"/>
      <c r="H442" s="218"/>
      <c r="I442" s="218" t="s">
        <v>1517</v>
      </c>
      <c r="J442" s="218"/>
    </row>
    <row r="443" spans="1:10" ht="15.75" customHeight="1" x14ac:dyDescent="0.45">
      <c r="A443" s="226"/>
      <c r="B443" s="226"/>
      <c r="C443" s="216"/>
      <c r="D443" s="216"/>
      <c r="E443" s="216"/>
      <c r="F443" s="216"/>
      <c r="G443" s="217"/>
      <c r="H443" s="218"/>
      <c r="I443" s="218" t="s">
        <v>1517</v>
      </c>
      <c r="J443" s="218"/>
    </row>
    <row r="444" spans="1:10" ht="15.75" customHeight="1" x14ac:dyDescent="0.45">
      <c r="A444" s="226"/>
      <c r="B444" s="226"/>
      <c r="C444" s="216"/>
      <c r="D444" s="216"/>
      <c r="E444" s="216"/>
      <c r="F444" s="216"/>
      <c r="G444" s="217"/>
      <c r="H444" s="218"/>
      <c r="I444" s="218" t="s">
        <v>1517</v>
      </c>
      <c r="J444" s="218"/>
    </row>
    <row r="445" spans="1:10" ht="15.75" customHeight="1" x14ac:dyDescent="0.45">
      <c r="A445" s="226"/>
      <c r="B445" s="226"/>
      <c r="C445" s="216"/>
      <c r="D445" s="216"/>
      <c r="E445" s="216"/>
      <c r="F445" s="216"/>
      <c r="G445" s="217"/>
      <c r="H445" s="218"/>
      <c r="I445" s="218" t="s">
        <v>1517</v>
      </c>
      <c r="J445" s="218"/>
    </row>
    <row r="446" spans="1:10" ht="15.75" customHeight="1" x14ac:dyDescent="0.45">
      <c r="A446" s="226"/>
      <c r="B446" s="226"/>
      <c r="C446" s="216"/>
      <c r="D446" s="216"/>
      <c r="E446" s="216"/>
      <c r="F446" s="216"/>
      <c r="G446" s="217"/>
      <c r="H446" s="218"/>
      <c r="I446" s="218" t="s">
        <v>1517</v>
      </c>
      <c r="J446" s="218"/>
    </row>
    <row r="447" spans="1:10" ht="15.75" customHeight="1" x14ac:dyDescent="0.45">
      <c r="A447" s="226"/>
      <c r="B447" s="226"/>
      <c r="C447" s="216"/>
      <c r="D447" s="216"/>
      <c r="E447" s="216"/>
      <c r="F447" s="216"/>
      <c r="G447" s="217"/>
      <c r="H447" s="218"/>
      <c r="I447" s="218" t="s">
        <v>1517</v>
      </c>
      <c r="J447" s="218"/>
    </row>
    <row r="448" spans="1:10" ht="15.75" customHeight="1" x14ac:dyDescent="0.45">
      <c r="A448" s="226"/>
      <c r="B448" s="226"/>
      <c r="C448" s="216"/>
      <c r="D448" s="216"/>
      <c r="E448" s="216"/>
      <c r="F448" s="216"/>
      <c r="G448" s="217"/>
      <c r="H448" s="218"/>
      <c r="I448" s="218" t="s">
        <v>1517</v>
      </c>
      <c r="J448" s="218"/>
    </row>
    <row r="449" spans="1:10" ht="15.75" customHeight="1" x14ac:dyDescent="0.45">
      <c r="A449" s="226"/>
      <c r="B449" s="226"/>
      <c r="C449" s="216"/>
      <c r="D449" s="216"/>
      <c r="E449" s="216"/>
      <c r="F449" s="216"/>
      <c r="G449" s="217"/>
      <c r="H449" s="218"/>
      <c r="I449" s="218" t="s">
        <v>1517</v>
      </c>
      <c r="J449" s="218"/>
    </row>
    <row r="450" spans="1:10" ht="15.75" customHeight="1" x14ac:dyDescent="0.45">
      <c r="A450" s="226"/>
      <c r="B450" s="226"/>
      <c r="C450" s="216"/>
      <c r="D450" s="216"/>
      <c r="E450" s="216"/>
      <c r="F450" s="216"/>
      <c r="G450" s="217"/>
      <c r="H450" s="218"/>
      <c r="I450" s="218" t="s">
        <v>1517</v>
      </c>
      <c r="J450" s="218"/>
    </row>
    <row r="451" spans="1:10" ht="15.75" customHeight="1" x14ac:dyDescent="0.45">
      <c r="A451" s="226"/>
      <c r="B451" s="226"/>
      <c r="C451" s="216"/>
      <c r="D451" s="216"/>
      <c r="E451" s="216"/>
      <c r="F451" s="216"/>
      <c r="G451" s="217"/>
      <c r="H451" s="218"/>
      <c r="I451" s="218" t="s">
        <v>1517</v>
      </c>
      <c r="J451" s="218"/>
    </row>
    <row r="452" spans="1:10" ht="15.75" customHeight="1" x14ac:dyDescent="0.45">
      <c r="A452" s="226"/>
      <c r="B452" s="226"/>
      <c r="C452" s="216"/>
      <c r="D452" s="216"/>
      <c r="E452" s="216"/>
      <c r="F452" s="216"/>
      <c r="G452" s="217"/>
      <c r="H452" s="218"/>
      <c r="I452" s="218" t="s">
        <v>1517</v>
      </c>
      <c r="J452" s="218"/>
    </row>
    <row r="453" spans="1:10" ht="15.75" customHeight="1" x14ac:dyDescent="0.45">
      <c r="A453" s="226"/>
      <c r="B453" s="226"/>
      <c r="C453" s="216"/>
      <c r="D453" s="216"/>
      <c r="E453" s="216"/>
      <c r="F453" s="216"/>
      <c r="G453" s="217"/>
      <c r="H453" s="218"/>
      <c r="I453" s="218" t="s">
        <v>1517</v>
      </c>
      <c r="J453" s="218"/>
    </row>
    <row r="454" spans="1:10" ht="15.75" customHeight="1" x14ac:dyDescent="0.45">
      <c r="A454" s="226"/>
      <c r="B454" s="226"/>
      <c r="C454" s="216"/>
      <c r="D454" s="216"/>
      <c r="E454" s="216"/>
      <c r="F454" s="216"/>
      <c r="G454" s="217"/>
      <c r="H454" s="218"/>
      <c r="I454" s="218" t="s">
        <v>1517</v>
      </c>
      <c r="J454" s="218"/>
    </row>
    <row r="455" spans="1:10" ht="15.75" customHeight="1" x14ac:dyDescent="0.45">
      <c r="A455" s="226"/>
      <c r="B455" s="226"/>
      <c r="C455" s="216"/>
      <c r="D455" s="216"/>
      <c r="E455" s="216"/>
      <c r="F455" s="216"/>
      <c r="G455" s="217"/>
      <c r="H455" s="218"/>
      <c r="I455" s="218" t="s">
        <v>1517</v>
      </c>
      <c r="J455" s="218"/>
    </row>
    <row r="456" spans="1:10" ht="15.75" customHeight="1" x14ac:dyDescent="0.45">
      <c r="A456" s="226"/>
      <c r="B456" s="226"/>
      <c r="C456" s="216"/>
      <c r="D456" s="216"/>
      <c r="E456" s="216"/>
      <c r="F456" s="216"/>
      <c r="G456" s="217"/>
      <c r="H456" s="218"/>
      <c r="I456" s="218" t="s">
        <v>1517</v>
      </c>
      <c r="J456" s="218"/>
    </row>
    <row r="457" spans="1:10" ht="15.75" customHeight="1" x14ac:dyDescent="0.45">
      <c r="A457" s="226"/>
      <c r="B457" s="226"/>
      <c r="C457" s="216"/>
      <c r="D457" s="216"/>
      <c r="E457" s="216"/>
      <c r="F457" s="216"/>
      <c r="G457" s="217"/>
      <c r="H457" s="218"/>
      <c r="I457" s="218" t="s">
        <v>1517</v>
      </c>
      <c r="J457" s="218"/>
    </row>
    <row r="458" spans="1:10" ht="15.75" customHeight="1" x14ac:dyDescent="0.45">
      <c r="A458" s="226"/>
      <c r="B458" s="226"/>
      <c r="C458" s="216"/>
      <c r="D458" s="216"/>
      <c r="E458" s="216"/>
      <c r="F458" s="216"/>
      <c r="G458" s="217"/>
      <c r="H458" s="218"/>
      <c r="I458" s="218" t="s">
        <v>1517</v>
      </c>
      <c r="J458" s="218"/>
    </row>
    <row r="459" spans="1:10" ht="15.75" customHeight="1" x14ac:dyDescent="0.45">
      <c r="A459" s="226"/>
      <c r="B459" s="226"/>
      <c r="C459" s="216"/>
      <c r="D459" s="216"/>
      <c r="E459" s="216"/>
      <c r="F459" s="216"/>
      <c r="G459" s="217"/>
      <c r="H459" s="218"/>
      <c r="I459" s="218" t="s">
        <v>1517</v>
      </c>
      <c r="J459" s="218"/>
    </row>
    <row r="460" spans="1:10" ht="15.75" customHeight="1" x14ac:dyDescent="0.45">
      <c r="A460" s="226"/>
      <c r="B460" s="226"/>
      <c r="C460" s="216"/>
      <c r="D460" s="216"/>
      <c r="E460" s="216"/>
      <c r="F460" s="216"/>
      <c r="G460" s="217"/>
      <c r="H460" s="218"/>
      <c r="I460" s="218" t="s">
        <v>1517</v>
      </c>
      <c r="J460" s="218"/>
    </row>
    <row r="461" spans="1:10" ht="15.75" customHeight="1" x14ac:dyDescent="0.45">
      <c r="A461" s="226"/>
      <c r="B461" s="226"/>
      <c r="C461" s="216"/>
      <c r="D461" s="216"/>
      <c r="E461" s="216"/>
      <c r="F461" s="216"/>
      <c r="G461" s="217"/>
      <c r="H461" s="218"/>
      <c r="I461" s="218" t="s">
        <v>1517</v>
      </c>
      <c r="J461" s="218"/>
    </row>
    <row r="462" spans="1:10" ht="15.75" customHeight="1" x14ac:dyDescent="0.45">
      <c r="A462" s="226"/>
      <c r="B462" s="226"/>
      <c r="C462" s="216"/>
      <c r="D462" s="216"/>
      <c r="E462" s="216"/>
      <c r="F462" s="216"/>
      <c r="G462" s="217"/>
      <c r="H462" s="218"/>
      <c r="I462" s="218" t="s">
        <v>1517</v>
      </c>
      <c r="J462" s="218"/>
    </row>
    <row r="463" spans="1:10" ht="15.75" customHeight="1" x14ac:dyDescent="0.45">
      <c r="A463" s="226"/>
      <c r="B463" s="226"/>
      <c r="C463" s="216"/>
      <c r="D463" s="216"/>
      <c r="E463" s="216"/>
      <c r="F463" s="216"/>
      <c r="G463" s="217"/>
      <c r="H463" s="218"/>
      <c r="I463" s="218" t="s">
        <v>1517</v>
      </c>
      <c r="J463" s="218"/>
    </row>
    <row r="464" spans="1:10" ht="15.75" customHeight="1" x14ac:dyDescent="0.45">
      <c r="A464" s="226"/>
      <c r="B464" s="226"/>
      <c r="C464" s="216"/>
      <c r="D464" s="216"/>
      <c r="E464" s="216"/>
      <c r="F464" s="216"/>
      <c r="G464" s="217"/>
      <c r="H464" s="218"/>
      <c r="I464" s="218" t="s">
        <v>1517</v>
      </c>
      <c r="J464" s="218"/>
    </row>
    <row r="465" spans="1:10" ht="15.75" customHeight="1" x14ac:dyDescent="0.45">
      <c r="A465" s="226"/>
      <c r="B465" s="226"/>
      <c r="C465" s="216"/>
      <c r="D465" s="216"/>
      <c r="E465" s="216"/>
      <c r="F465" s="216"/>
      <c r="G465" s="217"/>
      <c r="H465" s="218"/>
      <c r="I465" s="218" t="s">
        <v>1517</v>
      </c>
      <c r="J465" s="218"/>
    </row>
    <row r="466" spans="1:10" ht="15.75" customHeight="1" x14ac:dyDescent="0.45">
      <c r="A466" s="226"/>
      <c r="B466" s="226"/>
      <c r="C466" s="216"/>
      <c r="D466" s="216"/>
      <c r="E466" s="216"/>
      <c r="F466" s="216"/>
      <c r="G466" s="217"/>
      <c r="H466" s="218"/>
      <c r="I466" s="218" t="s">
        <v>1517</v>
      </c>
      <c r="J466" s="218"/>
    </row>
    <row r="467" spans="1:10" ht="15.75" customHeight="1" x14ac:dyDescent="0.45">
      <c r="A467" s="226"/>
      <c r="B467" s="226"/>
      <c r="C467" s="216"/>
      <c r="D467" s="216"/>
      <c r="E467" s="216"/>
      <c r="F467" s="216"/>
      <c r="G467" s="217"/>
      <c r="H467" s="218"/>
      <c r="I467" s="218" t="s">
        <v>1517</v>
      </c>
      <c r="J467" s="218"/>
    </row>
    <row r="468" spans="1:10" ht="15.75" customHeight="1" x14ac:dyDescent="0.45">
      <c r="A468" s="226"/>
      <c r="B468" s="226"/>
      <c r="C468" s="216"/>
      <c r="D468" s="216"/>
      <c r="E468" s="216"/>
      <c r="F468" s="216"/>
      <c r="G468" s="217"/>
      <c r="H468" s="218"/>
      <c r="I468" s="218" t="s">
        <v>1517</v>
      </c>
      <c r="J468" s="218"/>
    </row>
    <row r="469" spans="1:10" ht="15.75" customHeight="1" x14ac:dyDescent="0.45">
      <c r="A469" s="226"/>
      <c r="B469" s="226"/>
      <c r="C469" s="216"/>
      <c r="D469" s="216"/>
      <c r="E469" s="216"/>
      <c r="F469" s="216"/>
      <c r="G469" s="217"/>
      <c r="H469" s="218"/>
      <c r="I469" s="218" t="s">
        <v>1517</v>
      </c>
      <c r="J469" s="218"/>
    </row>
    <row r="470" spans="1:10" ht="15.75" customHeight="1" x14ac:dyDescent="0.45">
      <c r="A470" s="226"/>
      <c r="B470" s="226"/>
      <c r="C470" s="216"/>
      <c r="D470" s="216"/>
      <c r="E470" s="216"/>
      <c r="F470" s="216"/>
      <c r="G470" s="217"/>
      <c r="H470" s="218"/>
      <c r="I470" s="218" t="s">
        <v>1517</v>
      </c>
      <c r="J470" s="218"/>
    </row>
    <row r="471" spans="1:10" ht="15.75" customHeight="1" x14ac:dyDescent="0.45">
      <c r="A471" s="226"/>
      <c r="B471" s="226"/>
      <c r="C471" s="216"/>
      <c r="D471" s="216"/>
      <c r="E471" s="216"/>
      <c r="F471" s="216"/>
      <c r="G471" s="217"/>
      <c r="H471" s="218"/>
      <c r="I471" s="218" t="s">
        <v>1517</v>
      </c>
      <c r="J471" s="218"/>
    </row>
    <row r="472" spans="1:10" ht="15.75" customHeight="1" x14ac:dyDescent="0.45">
      <c r="A472" s="226"/>
      <c r="B472" s="226"/>
      <c r="C472" s="216"/>
      <c r="D472" s="216"/>
      <c r="E472" s="216"/>
      <c r="F472" s="216"/>
      <c r="G472" s="217"/>
      <c r="H472" s="218"/>
      <c r="I472" s="218" t="s">
        <v>1517</v>
      </c>
      <c r="J472" s="218"/>
    </row>
    <row r="473" spans="1:10" ht="15.75" customHeight="1" x14ac:dyDescent="0.45">
      <c r="A473" s="226"/>
      <c r="B473" s="226"/>
      <c r="C473" s="216"/>
      <c r="D473" s="216"/>
      <c r="E473" s="216"/>
      <c r="F473" s="216"/>
      <c r="G473" s="217"/>
      <c r="H473" s="218"/>
      <c r="I473" s="218" t="s">
        <v>1517</v>
      </c>
      <c r="J473" s="218"/>
    </row>
    <row r="474" spans="1:10" ht="15.75" customHeight="1" x14ac:dyDescent="0.45">
      <c r="A474" s="226"/>
      <c r="B474" s="226"/>
      <c r="C474" s="216"/>
      <c r="D474" s="216"/>
      <c r="E474" s="216"/>
      <c r="F474" s="216"/>
      <c r="G474" s="217"/>
      <c r="H474" s="218"/>
      <c r="I474" s="218" t="s">
        <v>1517</v>
      </c>
      <c r="J474" s="218"/>
    </row>
    <row r="475" spans="1:10" ht="15.75" customHeight="1" x14ac:dyDescent="0.45">
      <c r="A475" s="226"/>
      <c r="B475" s="226"/>
      <c r="C475" s="216"/>
      <c r="D475" s="216"/>
      <c r="E475" s="216"/>
      <c r="F475" s="216"/>
      <c r="G475" s="217"/>
      <c r="H475" s="218"/>
      <c r="I475" s="218" t="s">
        <v>1517</v>
      </c>
      <c r="J475" s="218"/>
    </row>
    <row r="476" spans="1:10" ht="15.75" customHeight="1" x14ac:dyDescent="0.45">
      <c r="A476" s="226"/>
      <c r="B476" s="226"/>
      <c r="C476" s="216"/>
      <c r="D476" s="216"/>
      <c r="E476" s="216"/>
      <c r="F476" s="216"/>
      <c r="G476" s="217"/>
      <c r="H476" s="218"/>
      <c r="I476" s="218" t="s">
        <v>1517</v>
      </c>
      <c r="J476" s="218"/>
    </row>
    <row r="477" spans="1:10" ht="15.75" customHeight="1" x14ac:dyDescent="0.45">
      <c r="A477" s="226"/>
      <c r="B477" s="226"/>
      <c r="C477" s="216"/>
      <c r="D477" s="216"/>
      <c r="E477" s="216"/>
      <c r="F477" s="216"/>
      <c r="G477" s="217"/>
      <c r="H477" s="218"/>
      <c r="I477" s="218" t="s">
        <v>1517</v>
      </c>
      <c r="J477" s="218"/>
    </row>
    <row r="478" spans="1:10" ht="15.75" customHeight="1" x14ac:dyDescent="0.45">
      <c r="A478" s="226"/>
      <c r="B478" s="226"/>
      <c r="C478" s="216"/>
      <c r="D478" s="216"/>
      <c r="E478" s="216"/>
      <c r="F478" s="216"/>
      <c r="G478" s="217"/>
      <c r="H478" s="218"/>
      <c r="I478" s="218" t="s">
        <v>1517</v>
      </c>
      <c r="J478" s="218"/>
    </row>
    <row r="479" spans="1:10" ht="15.75" customHeight="1" x14ac:dyDescent="0.45">
      <c r="A479" s="226"/>
      <c r="B479" s="226"/>
      <c r="C479" s="216"/>
      <c r="D479" s="216"/>
      <c r="E479" s="216"/>
      <c r="F479" s="216"/>
      <c r="G479" s="217"/>
      <c r="H479" s="218"/>
      <c r="I479" s="218" t="s">
        <v>1517</v>
      </c>
      <c r="J479" s="218"/>
    </row>
    <row r="480" spans="1:10" ht="15.75" customHeight="1" x14ac:dyDescent="0.45">
      <c r="A480" s="226"/>
      <c r="B480" s="226"/>
      <c r="C480" s="216"/>
      <c r="D480" s="216"/>
      <c r="E480" s="216"/>
      <c r="F480" s="216"/>
      <c r="G480" s="217"/>
      <c r="H480" s="218"/>
      <c r="I480" s="218" t="s">
        <v>1517</v>
      </c>
      <c r="J480" s="218"/>
    </row>
    <row r="481" spans="1:10" ht="15.75" customHeight="1" x14ac:dyDescent="0.45">
      <c r="A481" s="226"/>
      <c r="B481" s="226"/>
      <c r="C481" s="216"/>
      <c r="D481" s="216"/>
      <c r="E481" s="216"/>
      <c r="F481" s="216"/>
      <c r="G481" s="217"/>
      <c r="H481" s="218"/>
      <c r="I481" s="218" t="s">
        <v>1517</v>
      </c>
      <c r="J481" s="218"/>
    </row>
    <row r="482" spans="1:10" ht="15.75" customHeight="1" x14ac:dyDescent="0.45">
      <c r="A482" s="226"/>
      <c r="B482" s="226"/>
      <c r="C482" s="216"/>
      <c r="D482" s="216"/>
      <c r="E482" s="216"/>
      <c r="F482" s="216"/>
      <c r="G482" s="217"/>
      <c r="H482" s="218"/>
      <c r="I482" s="218" t="s">
        <v>1517</v>
      </c>
      <c r="J482" s="218"/>
    </row>
    <row r="483" spans="1:10" ht="15.75" customHeight="1" x14ac:dyDescent="0.45">
      <c r="A483" s="226"/>
      <c r="B483" s="226"/>
      <c r="C483" s="216"/>
      <c r="D483" s="216"/>
      <c r="E483" s="216"/>
      <c r="F483" s="216"/>
      <c r="G483" s="217"/>
      <c r="H483" s="218"/>
      <c r="I483" s="218" t="s">
        <v>1517</v>
      </c>
      <c r="J483" s="218"/>
    </row>
    <row r="484" spans="1:10" ht="15.75" customHeight="1" x14ac:dyDescent="0.45">
      <c r="A484" s="226"/>
      <c r="B484" s="226"/>
      <c r="C484" s="216"/>
      <c r="D484" s="216"/>
      <c r="E484" s="216"/>
      <c r="F484" s="216"/>
      <c r="G484" s="217"/>
      <c r="H484" s="218"/>
      <c r="I484" s="218" t="s">
        <v>1517</v>
      </c>
      <c r="J484" s="218"/>
    </row>
    <row r="485" spans="1:10" ht="15.75" customHeight="1" x14ac:dyDescent="0.45">
      <c r="A485" s="226"/>
      <c r="B485" s="226"/>
      <c r="C485" s="216"/>
      <c r="D485" s="216"/>
      <c r="E485" s="216"/>
      <c r="F485" s="216"/>
      <c r="G485" s="217"/>
      <c r="H485" s="218"/>
      <c r="I485" s="218" t="s">
        <v>1517</v>
      </c>
      <c r="J485" s="218"/>
    </row>
    <row r="486" spans="1:10" ht="15.75" customHeight="1" x14ac:dyDescent="0.45">
      <c r="A486" s="226"/>
      <c r="B486" s="226"/>
      <c r="C486" s="216"/>
      <c r="D486" s="216"/>
      <c r="E486" s="216"/>
      <c r="F486" s="216"/>
      <c r="G486" s="217"/>
      <c r="H486" s="218"/>
      <c r="I486" s="218" t="s">
        <v>1517</v>
      </c>
      <c r="J486" s="218"/>
    </row>
    <row r="487" spans="1:10" ht="15.75" customHeight="1" x14ac:dyDescent="0.45">
      <c r="A487" s="226"/>
      <c r="B487" s="226"/>
      <c r="C487" s="216"/>
      <c r="D487" s="216"/>
      <c r="E487" s="216"/>
      <c r="F487" s="216"/>
      <c r="G487" s="217"/>
      <c r="H487" s="218"/>
      <c r="I487" s="218" t="s">
        <v>1517</v>
      </c>
      <c r="J487" s="218"/>
    </row>
    <row r="488" spans="1:10" ht="15.75" customHeight="1" x14ac:dyDescent="0.45">
      <c r="A488" s="226"/>
      <c r="B488" s="226"/>
      <c r="C488" s="216"/>
      <c r="D488" s="216"/>
      <c r="E488" s="216"/>
      <c r="F488" s="216"/>
      <c r="G488" s="217"/>
      <c r="H488" s="218"/>
      <c r="I488" s="218" t="s">
        <v>1517</v>
      </c>
      <c r="J488" s="218"/>
    </row>
    <row r="489" spans="1:10" ht="15.75" customHeight="1" x14ac:dyDescent="0.45">
      <c r="A489" s="226"/>
      <c r="B489" s="226"/>
      <c r="C489" s="216"/>
      <c r="D489" s="216"/>
      <c r="E489" s="216"/>
      <c r="F489" s="216"/>
      <c r="G489" s="217"/>
      <c r="H489" s="218"/>
      <c r="I489" s="218" t="s">
        <v>1517</v>
      </c>
      <c r="J489" s="218"/>
    </row>
    <row r="490" spans="1:10" ht="15.75" customHeight="1" x14ac:dyDescent="0.45">
      <c r="A490" s="226"/>
      <c r="B490" s="226"/>
      <c r="C490" s="216"/>
      <c r="D490" s="216"/>
      <c r="E490" s="216"/>
      <c r="F490" s="216"/>
      <c r="G490" s="217"/>
      <c r="H490" s="218"/>
      <c r="I490" s="218" t="s">
        <v>1517</v>
      </c>
      <c r="J490" s="218"/>
    </row>
    <row r="491" spans="1:10" ht="15.75" customHeight="1" x14ac:dyDescent="0.45">
      <c r="A491" s="226"/>
      <c r="B491" s="226"/>
      <c r="C491" s="216"/>
      <c r="D491" s="216"/>
      <c r="E491" s="216"/>
      <c r="F491" s="216"/>
      <c r="G491" s="217"/>
      <c r="H491" s="218"/>
      <c r="I491" s="218" t="s">
        <v>1517</v>
      </c>
      <c r="J491" s="218"/>
    </row>
    <row r="492" spans="1:10" ht="15.75" customHeight="1" x14ac:dyDescent="0.45">
      <c r="A492" s="226"/>
      <c r="B492" s="226"/>
      <c r="C492" s="216"/>
      <c r="D492" s="216"/>
      <c r="E492" s="216"/>
      <c r="F492" s="216"/>
      <c r="G492" s="217"/>
      <c r="H492" s="218"/>
      <c r="I492" s="218" t="s">
        <v>1517</v>
      </c>
      <c r="J492" s="218"/>
    </row>
    <row r="493" spans="1:10" ht="15.75" customHeight="1" x14ac:dyDescent="0.45">
      <c r="A493" s="226"/>
      <c r="B493" s="226"/>
      <c r="C493" s="216"/>
      <c r="D493" s="216"/>
      <c r="E493" s="216"/>
      <c r="F493" s="216"/>
      <c r="G493" s="217"/>
      <c r="H493" s="218"/>
      <c r="I493" s="218" t="s">
        <v>1517</v>
      </c>
      <c r="J493" s="218"/>
    </row>
    <row r="494" spans="1:10" ht="15.75" customHeight="1" x14ac:dyDescent="0.45">
      <c r="A494" s="226"/>
      <c r="B494" s="226"/>
      <c r="C494" s="216"/>
      <c r="D494" s="216"/>
      <c r="E494" s="216"/>
      <c r="F494" s="216"/>
      <c r="G494" s="217"/>
      <c r="H494" s="218"/>
      <c r="I494" s="218" t="s">
        <v>1517</v>
      </c>
      <c r="J494" s="218"/>
    </row>
    <row r="495" spans="1:10" ht="15.75" customHeight="1" x14ac:dyDescent="0.45">
      <c r="A495" s="226"/>
      <c r="B495" s="226"/>
      <c r="C495" s="216"/>
      <c r="D495" s="216"/>
      <c r="E495" s="216"/>
      <c r="F495" s="216"/>
      <c r="G495" s="217"/>
      <c r="H495" s="218"/>
      <c r="I495" s="218" t="s">
        <v>1517</v>
      </c>
      <c r="J495" s="218"/>
    </row>
    <row r="496" spans="1:10" ht="15.75" customHeight="1" x14ac:dyDescent="0.45">
      <c r="A496" s="226"/>
      <c r="B496" s="226"/>
      <c r="C496" s="216"/>
      <c r="D496" s="216"/>
      <c r="E496" s="216"/>
      <c r="F496" s="216"/>
      <c r="G496" s="217"/>
      <c r="H496" s="218"/>
      <c r="I496" s="218" t="s">
        <v>1517</v>
      </c>
      <c r="J496" s="218"/>
    </row>
    <row r="497" spans="1:10" ht="15.75" customHeight="1" x14ac:dyDescent="0.45">
      <c r="A497" s="226"/>
      <c r="B497" s="226"/>
      <c r="C497" s="216"/>
      <c r="D497" s="216"/>
      <c r="E497" s="216"/>
      <c r="F497" s="216"/>
      <c r="G497" s="217"/>
      <c r="H497" s="218"/>
      <c r="I497" s="218" t="s">
        <v>1517</v>
      </c>
      <c r="J497" s="218"/>
    </row>
    <row r="498" spans="1:10" ht="15.75" customHeight="1" x14ac:dyDescent="0.45">
      <c r="A498" s="226"/>
      <c r="B498" s="226"/>
      <c r="C498" s="216"/>
      <c r="D498" s="216"/>
      <c r="E498" s="216"/>
      <c r="F498" s="216"/>
      <c r="G498" s="217"/>
      <c r="H498" s="218"/>
      <c r="I498" s="218" t="s">
        <v>1517</v>
      </c>
      <c r="J498" s="218"/>
    </row>
    <row r="499" spans="1:10" ht="15.75" customHeight="1" x14ac:dyDescent="0.45">
      <c r="A499" s="226"/>
      <c r="B499" s="226"/>
      <c r="C499" s="216"/>
      <c r="D499" s="216"/>
      <c r="E499" s="216"/>
      <c r="F499" s="216"/>
      <c r="G499" s="217"/>
      <c r="H499" s="218"/>
      <c r="I499" s="218" t="s">
        <v>1517</v>
      </c>
      <c r="J499" s="218"/>
    </row>
    <row r="500" spans="1:10" ht="15.75" customHeight="1" x14ac:dyDescent="0.45">
      <c r="A500" s="226"/>
      <c r="B500" s="226"/>
      <c r="C500" s="216"/>
      <c r="D500" s="216"/>
      <c r="E500" s="216"/>
      <c r="F500" s="216"/>
      <c r="G500" s="217"/>
      <c r="H500" s="218"/>
      <c r="I500" s="218" t="s">
        <v>1517</v>
      </c>
      <c r="J500" s="218"/>
    </row>
    <row r="501" spans="1:10" ht="15.75" customHeight="1" x14ac:dyDescent="0.45">
      <c r="A501" s="226"/>
      <c r="B501" s="226"/>
      <c r="C501" s="216"/>
      <c r="D501" s="216"/>
      <c r="E501" s="216"/>
      <c r="F501" s="216"/>
      <c r="G501" s="217"/>
      <c r="H501" s="218"/>
      <c r="I501" s="218" t="s">
        <v>1517</v>
      </c>
      <c r="J501" s="218"/>
    </row>
    <row r="502" spans="1:10" ht="15.75" customHeight="1" x14ac:dyDescent="0.45">
      <c r="A502" s="226"/>
      <c r="B502" s="226"/>
      <c r="C502" s="216"/>
      <c r="D502" s="216"/>
      <c r="E502" s="216"/>
      <c r="F502" s="216"/>
      <c r="G502" s="217"/>
      <c r="H502" s="218"/>
      <c r="I502" s="218" t="s">
        <v>1517</v>
      </c>
      <c r="J502" s="218"/>
    </row>
    <row r="503" spans="1:10" ht="15.75" customHeight="1" x14ac:dyDescent="0.45">
      <c r="A503" s="226"/>
      <c r="B503" s="226"/>
      <c r="C503" s="216"/>
      <c r="D503" s="216"/>
      <c r="E503" s="216"/>
      <c r="F503" s="216"/>
      <c r="G503" s="217"/>
      <c r="H503" s="218"/>
      <c r="I503" s="218" t="s">
        <v>1517</v>
      </c>
      <c r="J503" s="218"/>
    </row>
    <row r="504" spans="1:10" ht="15.75" customHeight="1" x14ac:dyDescent="0.45">
      <c r="A504" s="226"/>
      <c r="B504" s="226"/>
      <c r="C504" s="216"/>
      <c r="D504" s="216"/>
      <c r="E504" s="216"/>
      <c r="F504" s="216"/>
      <c r="G504" s="217"/>
      <c r="H504" s="218"/>
      <c r="I504" s="218" t="s">
        <v>1517</v>
      </c>
      <c r="J504" s="218"/>
    </row>
    <row r="505" spans="1:10" ht="15.75" customHeight="1" x14ac:dyDescent="0.45">
      <c r="A505" s="226"/>
      <c r="B505" s="226"/>
      <c r="C505" s="216"/>
      <c r="D505" s="216"/>
      <c r="E505" s="216"/>
      <c r="F505" s="216"/>
      <c r="G505" s="217"/>
      <c r="H505" s="218"/>
      <c r="I505" s="218" t="s">
        <v>1517</v>
      </c>
      <c r="J505" s="218"/>
    </row>
    <row r="506" spans="1:10" ht="15.75" customHeight="1" x14ac:dyDescent="0.45">
      <c r="A506" s="226"/>
      <c r="B506" s="226"/>
      <c r="C506" s="216"/>
      <c r="D506" s="216"/>
      <c r="E506" s="216"/>
      <c r="F506" s="216"/>
      <c r="G506" s="217"/>
      <c r="H506" s="218"/>
      <c r="I506" s="218" t="s">
        <v>1517</v>
      </c>
      <c r="J506" s="218"/>
    </row>
    <row r="507" spans="1:10" ht="15.75" customHeight="1" x14ac:dyDescent="0.45">
      <c r="A507" s="226"/>
      <c r="B507" s="226"/>
      <c r="C507" s="216"/>
      <c r="D507" s="216"/>
      <c r="E507" s="216"/>
      <c r="F507" s="216"/>
      <c r="G507" s="217"/>
      <c r="H507" s="218"/>
      <c r="I507" s="218" t="s">
        <v>1517</v>
      </c>
      <c r="J507" s="218"/>
    </row>
    <row r="508" spans="1:10" ht="15.75" customHeight="1" x14ac:dyDescent="0.45">
      <c r="A508" s="226"/>
      <c r="B508" s="226"/>
      <c r="C508" s="216"/>
      <c r="D508" s="216"/>
      <c r="E508" s="216"/>
      <c r="F508" s="216"/>
      <c r="G508" s="217"/>
      <c r="H508" s="218"/>
      <c r="I508" s="218" t="s">
        <v>1517</v>
      </c>
      <c r="J508" s="218"/>
    </row>
    <row r="509" spans="1:10" ht="15.75" customHeight="1" x14ac:dyDescent="0.45">
      <c r="A509" s="226"/>
      <c r="B509" s="226"/>
      <c r="C509" s="216"/>
      <c r="D509" s="216"/>
      <c r="E509" s="216"/>
      <c r="F509" s="216"/>
      <c r="G509" s="217"/>
      <c r="H509" s="218"/>
      <c r="I509" s="218" t="s">
        <v>1517</v>
      </c>
      <c r="J509" s="218"/>
    </row>
    <row r="510" spans="1:10" ht="15.75" customHeight="1" x14ac:dyDescent="0.45">
      <c r="A510" s="226"/>
      <c r="B510" s="226"/>
      <c r="C510" s="216"/>
      <c r="D510" s="216"/>
      <c r="E510" s="216"/>
      <c r="F510" s="216"/>
      <c r="G510" s="217"/>
      <c r="H510" s="218"/>
      <c r="I510" s="218" t="s">
        <v>1517</v>
      </c>
      <c r="J510" s="218"/>
    </row>
    <row r="511" spans="1:10" ht="15.75" customHeight="1" x14ac:dyDescent="0.45">
      <c r="A511" s="226"/>
      <c r="B511" s="226"/>
      <c r="C511" s="216"/>
      <c r="D511" s="216"/>
      <c r="E511" s="216"/>
      <c r="F511" s="216"/>
      <c r="G511" s="217"/>
      <c r="H511" s="218"/>
      <c r="I511" s="218" t="s">
        <v>1517</v>
      </c>
      <c r="J511" s="218"/>
    </row>
    <row r="512" spans="1:10" ht="15.75" customHeight="1" x14ac:dyDescent="0.45">
      <c r="A512" s="226"/>
      <c r="B512" s="226"/>
      <c r="C512" s="216"/>
      <c r="D512" s="216"/>
      <c r="E512" s="216"/>
      <c r="F512" s="216"/>
      <c r="G512" s="217"/>
      <c r="H512" s="218"/>
      <c r="I512" s="218" t="s">
        <v>1517</v>
      </c>
      <c r="J512" s="218"/>
    </row>
    <row r="513" spans="1:10" ht="15.75" customHeight="1" x14ac:dyDescent="0.45">
      <c r="A513" s="226"/>
      <c r="B513" s="226"/>
      <c r="C513" s="216"/>
      <c r="D513" s="216"/>
      <c r="E513" s="216"/>
      <c r="F513" s="216"/>
      <c r="G513" s="217"/>
      <c r="H513" s="218"/>
      <c r="I513" s="218" t="s">
        <v>1517</v>
      </c>
      <c r="J513" s="218"/>
    </row>
    <row r="514" spans="1:10" ht="15.75" customHeight="1" x14ac:dyDescent="0.45">
      <c r="A514" s="226"/>
      <c r="B514" s="226"/>
      <c r="C514" s="216"/>
      <c r="D514" s="216"/>
      <c r="E514" s="216"/>
      <c r="F514" s="216"/>
      <c r="G514" s="217"/>
      <c r="H514" s="218"/>
      <c r="I514" s="218" t="s">
        <v>1517</v>
      </c>
      <c r="J514" s="218"/>
    </row>
    <row r="515" spans="1:10" ht="15.75" customHeight="1" x14ac:dyDescent="0.45">
      <c r="A515" s="226"/>
      <c r="B515" s="226"/>
      <c r="C515" s="216"/>
      <c r="D515" s="216"/>
      <c r="E515" s="216"/>
      <c r="F515" s="216"/>
      <c r="G515" s="217"/>
      <c r="H515" s="218"/>
      <c r="I515" s="218" t="s">
        <v>1517</v>
      </c>
      <c r="J515" s="218"/>
    </row>
    <row r="516" spans="1:10" ht="15.75" customHeight="1" x14ac:dyDescent="0.45">
      <c r="A516" s="226"/>
      <c r="B516" s="226"/>
      <c r="C516" s="216"/>
      <c r="D516" s="216"/>
      <c r="E516" s="216"/>
      <c r="F516" s="216"/>
      <c r="G516" s="217"/>
      <c r="H516" s="218"/>
      <c r="I516" s="218" t="s">
        <v>1517</v>
      </c>
      <c r="J516" s="218"/>
    </row>
    <row r="517" spans="1:10" ht="15.75" customHeight="1" x14ac:dyDescent="0.45">
      <c r="A517" s="226"/>
      <c r="B517" s="226"/>
      <c r="C517" s="216"/>
      <c r="D517" s="216"/>
      <c r="E517" s="216"/>
      <c r="F517" s="216"/>
      <c r="G517" s="217"/>
      <c r="H517" s="218"/>
      <c r="I517" s="218" t="s">
        <v>1517</v>
      </c>
      <c r="J517" s="218"/>
    </row>
    <row r="518" spans="1:10" ht="15.75" customHeight="1" x14ac:dyDescent="0.45">
      <c r="A518" s="226"/>
      <c r="B518" s="226"/>
      <c r="C518" s="216"/>
      <c r="D518" s="216"/>
      <c r="E518" s="216"/>
      <c r="F518" s="216"/>
      <c r="G518" s="217"/>
      <c r="H518" s="218"/>
      <c r="I518" s="218" t="s">
        <v>1517</v>
      </c>
      <c r="J518" s="218"/>
    </row>
    <row r="519" spans="1:10" ht="15.75" customHeight="1" x14ac:dyDescent="0.45">
      <c r="A519" s="226"/>
      <c r="B519" s="226"/>
      <c r="C519" s="216"/>
      <c r="D519" s="216"/>
      <c r="E519" s="216"/>
      <c r="F519" s="216"/>
      <c r="G519" s="217"/>
      <c r="H519" s="218"/>
      <c r="I519" s="218" t="s">
        <v>1517</v>
      </c>
      <c r="J519" s="218"/>
    </row>
    <row r="520" spans="1:10" ht="15.75" customHeight="1" x14ac:dyDescent="0.45">
      <c r="A520" s="226"/>
      <c r="B520" s="226"/>
      <c r="C520" s="216"/>
      <c r="D520" s="216"/>
      <c r="E520" s="216"/>
      <c r="F520" s="216"/>
      <c r="G520" s="217"/>
      <c r="H520" s="218"/>
      <c r="I520" s="218" t="s">
        <v>1517</v>
      </c>
      <c r="J520" s="218"/>
    </row>
    <row r="521" spans="1:10" ht="15.75" customHeight="1" x14ac:dyDescent="0.45">
      <c r="A521" s="226"/>
      <c r="B521" s="226"/>
      <c r="C521" s="216"/>
      <c r="D521" s="216"/>
      <c r="E521" s="216"/>
      <c r="F521" s="216"/>
      <c r="G521" s="217"/>
      <c r="H521" s="218"/>
      <c r="I521" s="218" t="s">
        <v>1517</v>
      </c>
      <c r="J521" s="218"/>
    </row>
    <row r="522" spans="1:10" ht="15.75" customHeight="1" x14ac:dyDescent="0.45">
      <c r="A522" s="226"/>
      <c r="B522" s="226"/>
      <c r="C522" s="216"/>
      <c r="D522" s="216"/>
      <c r="E522" s="216"/>
      <c r="F522" s="216"/>
      <c r="G522" s="217"/>
      <c r="H522" s="218"/>
      <c r="I522" s="218" t="s">
        <v>1517</v>
      </c>
      <c r="J522" s="218"/>
    </row>
    <row r="523" spans="1:10" ht="15.75" customHeight="1" x14ac:dyDescent="0.45">
      <c r="A523" s="226"/>
      <c r="B523" s="226"/>
      <c r="C523" s="216"/>
      <c r="D523" s="216"/>
      <c r="E523" s="216"/>
      <c r="F523" s="216"/>
      <c r="G523" s="217"/>
      <c r="H523" s="218"/>
      <c r="I523" s="218" t="s">
        <v>1517</v>
      </c>
      <c r="J523" s="218"/>
    </row>
    <row r="524" spans="1:10" ht="15.75" customHeight="1" x14ac:dyDescent="0.45">
      <c r="A524" s="226"/>
      <c r="B524" s="226"/>
      <c r="C524" s="216"/>
      <c r="D524" s="216"/>
      <c r="E524" s="216"/>
      <c r="F524" s="216"/>
      <c r="G524" s="217"/>
      <c r="H524" s="218"/>
      <c r="I524" s="218" t="s">
        <v>1517</v>
      </c>
      <c r="J524" s="218"/>
    </row>
    <row r="525" spans="1:10" ht="15.75" customHeight="1" x14ac:dyDescent="0.45">
      <c r="A525" s="226"/>
      <c r="B525" s="226"/>
      <c r="C525" s="216"/>
      <c r="D525" s="216"/>
      <c r="E525" s="216"/>
      <c r="F525" s="216"/>
      <c r="G525" s="217"/>
      <c r="H525" s="218"/>
      <c r="I525" s="218" t="s">
        <v>1517</v>
      </c>
      <c r="J525" s="218"/>
    </row>
    <row r="526" spans="1:10" ht="15.75" customHeight="1" x14ac:dyDescent="0.45">
      <c r="A526" s="226"/>
      <c r="B526" s="226"/>
      <c r="C526" s="216"/>
      <c r="D526" s="216"/>
      <c r="E526" s="216"/>
      <c r="F526" s="216"/>
      <c r="G526" s="217"/>
      <c r="H526" s="218"/>
      <c r="I526" s="218" t="s">
        <v>1517</v>
      </c>
      <c r="J526" s="218"/>
    </row>
    <row r="527" spans="1:10" ht="15.75" customHeight="1" x14ac:dyDescent="0.45">
      <c r="A527" s="226"/>
      <c r="B527" s="226"/>
      <c r="C527" s="216"/>
      <c r="D527" s="216"/>
      <c r="E527" s="216"/>
      <c r="F527" s="216"/>
      <c r="G527" s="217"/>
      <c r="H527" s="218"/>
      <c r="I527" s="218" t="s">
        <v>1517</v>
      </c>
      <c r="J527" s="218"/>
    </row>
    <row r="528" spans="1:10" ht="15.75" customHeight="1" x14ac:dyDescent="0.45">
      <c r="A528" s="226"/>
      <c r="B528" s="226"/>
      <c r="C528" s="216"/>
      <c r="D528" s="216"/>
      <c r="E528" s="216"/>
      <c r="F528" s="216"/>
      <c r="G528" s="217"/>
      <c r="H528" s="218"/>
      <c r="I528" s="218" t="s">
        <v>1517</v>
      </c>
      <c r="J528" s="218"/>
    </row>
    <row r="529" spans="1:10" ht="15.75" customHeight="1" x14ac:dyDescent="0.45">
      <c r="A529" s="226"/>
      <c r="B529" s="226"/>
      <c r="C529" s="216"/>
      <c r="D529" s="216"/>
      <c r="E529" s="216"/>
      <c r="F529" s="216"/>
      <c r="G529" s="217"/>
      <c r="H529" s="218"/>
      <c r="I529" s="218" t="s">
        <v>1517</v>
      </c>
      <c r="J529" s="218"/>
    </row>
    <row r="530" spans="1:10" ht="15.75" customHeight="1" x14ac:dyDescent="0.45">
      <c r="A530" s="226"/>
      <c r="B530" s="226"/>
      <c r="C530" s="216"/>
      <c r="D530" s="216"/>
      <c r="E530" s="216"/>
      <c r="F530" s="216"/>
      <c r="G530" s="217"/>
      <c r="H530" s="218"/>
      <c r="I530" s="218" t="s">
        <v>1517</v>
      </c>
      <c r="J530" s="218"/>
    </row>
    <row r="531" spans="1:10" ht="15.75" customHeight="1" x14ac:dyDescent="0.45">
      <c r="A531" s="226"/>
      <c r="B531" s="226"/>
      <c r="C531" s="216"/>
      <c r="D531" s="216"/>
      <c r="E531" s="216"/>
      <c r="F531" s="216"/>
      <c r="G531" s="217"/>
      <c r="H531" s="218"/>
      <c r="I531" s="218" t="s">
        <v>1517</v>
      </c>
      <c r="J531" s="218"/>
    </row>
    <row r="532" spans="1:10" ht="15.75" customHeight="1" x14ac:dyDescent="0.45">
      <c r="A532" s="226"/>
      <c r="B532" s="226"/>
      <c r="C532" s="216"/>
      <c r="D532" s="216"/>
      <c r="E532" s="216"/>
      <c r="F532" s="216"/>
      <c r="G532" s="217"/>
      <c r="H532" s="218"/>
      <c r="I532" s="218" t="s">
        <v>1517</v>
      </c>
      <c r="J532" s="218"/>
    </row>
    <row r="533" spans="1:10" ht="15.75" customHeight="1" x14ac:dyDescent="0.45">
      <c r="A533" s="226"/>
      <c r="B533" s="226"/>
      <c r="C533" s="216"/>
      <c r="D533" s="216"/>
      <c r="E533" s="216"/>
      <c r="F533" s="216"/>
      <c r="G533" s="217"/>
      <c r="H533" s="218"/>
      <c r="I533" s="218" t="s">
        <v>1517</v>
      </c>
      <c r="J533" s="218"/>
    </row>
    <row r="534" spans="1:10" ht="15.75" customHeight="1" x14ac:dyDescent="0.45">
      <c r="A534" s="226"/>
      <c r="B534" s="226"/>
      <c r="C534" s="216"/>
      <c r="D534" s="216"/>
      <c r="E534" s="216"/>
      <c r="F534" s="216"/>
      <c r="G534" s="217"/>
      <c r="H534" s="218"/>
      <c r="I534" s="218" t="s">
        <v>1517</v>
      </c>
      <c r="J534" s="218"/>
    </row>
    <row r="535" spans="1:10" ht="15.75" customHeight="1" x14ac:dyDescent="0.45">
      <c r="A535" s="226"/>
      <c r="B535" s="226"/>
      <c r="C535" s="216"/>
      <c r="D535" s="216"/>
      <c r="E535" s="216"/>
      <c r="F535" s="216"/>
      <c r="G535" s="217"/>
      <c r="H535" s="218"/>
      <c r="I535" s="218" t="s">
        <v>1517</v>
      </c>
      <c r="J535" s="218"/>
    </row>
    <row r="536" spans="1:10" ht="15.75" customHeight="1" x14ac:dyDescent="0.45">
      <c r="A536" s="226"/>
      <c r="B536" s="226"/>
      <c r="C536" s="216"/>
      <c r="D536" s="216"/>
      <c r="E536" s="216"/>
      <c r="F536" s="216"/>
      <c r="G536" s="217"/>
      <c r="H536" s="218"/>
      <c r="I536" s="218" t="s">
        <v>1517</v>
      </c>
      <c r="J536" s="218"/>
    </row>
    <row r="537" spans="1:10" ht="15.75" customHeight="1" x14ac:dyDescent="0.45">
      <c r="A537" s="226"/>
      <c r="B537" s="226"/>
      <c r="C537" s="216"/>
      <c r="D537" s="216"/>
      <c r="E537" s="216"/>
      <c r="F537" s="216"/>
      <c r="G537" s="217"/>
      <c r="H537" s="218"/>
      <c r="I537" s="218" t="s">
        <v>1517</v>
      </c>
      <c r="J537" s="218"/>
    </row>
    <row r="538" spans="1:10" ht="15.75" customHeight="1" x14ac:dyDescent="0.45">
      <c r="A538" s="226"/>
      <c r="B538" s="226"/>
      <c r="C538" s="216"/>
      <c r="D538" s="216"/>
      <c r="E538" s="216"/>
      <c r="F538" s="216"/>
      <c r="G538" s="217"/>
      <c r="H538" s="218"/>
      <c r="I538" s="218" t="s">
        <v>1517</v>
      </c>
      <c r="J538" s="218"/>
    </row>
    <row r="539" spans="1:10" ht="15.75" customHeight="1" x14ac:dyDescent="0.45">
      <c r="A539" s="226"/>
      <c r="B539" s="226"/>
      <c r="C539" s="216"/>
      <c r="D539" s="216"/>
      <c r="E539" s="216"/>
      <c r="F539" s="216"/>
      <c r="G539" s="217"/>
      <c r="H539" s="218"/>
      <c r="I539" s="218" t="s">
        <v>1517</v>
      </c>
      <c r="J539" s="218"/>
    </row>
    <row r="540" spans="1:10" ht="15.75" customHeight="1" x14ac:dyDescent="0.45">
      <c r="A540" s="226"/>
      <c r="B540" s="226"/>
      <c r="C540" s="216"/>
      <c r="D540" s="216"/>
      <c r="E540" s="216"/>
      <c r="F540" s="216"/>
      <c r="G540" s="217"/>
      <c r="H540" s="218"/>
      <c r="I540" s="218" t="s">
        <v>1517</v>
      </c>
      <c r="J540" s="218"/>
    </row>
    <row r="541" spans="1:10" ht="15.75" customHeight="1" x14ac:dyDescent="0.45">
      <c r="A541" s="226"/>
      <c r="B541" s="226"/>
      <c r="C541" s="216"/>
      <c r="D541" s="216"/>
      <c r="E541" s="216"/>
      <c r="F541" s="216"/>
      <c r="G541" s="217"/>
      <c r="H541" s="218"/>
      <c r="I541" s="218" t="s">
        <v>1517</v>
      </c>
      <c r="J541" s="218"/>
    </row>
    <row r="542" spans="1:10" ht="15.75" customHeight="1" x14ac:dyDescent="0.45">
      <c r="A542" s="226"/>
      <c r="B542" s="226"/>
      <c r="C542" s="216"/>
      <c r="D542" s="216"/>
      <c r="E542" s="216"/>
      <c r="F542" s="216"/>
      <c r="G542" s="217"/>
      <c r="H542" s="218"/>
      <c r="I542" s="218" t="s">
        <v>1517</v>
      </c>
      <c r="J542" s="218"/>
    </row>
    <row r="543" spans="1:10" ht="15.75" customHeight="1" x14ac:dyDescent="0.45">
      <c r="A543" s="226"/>
      <c r="B543" s="226"/>
      <c r="C543" s="216"/>
      <c r="D543" s="216"/>
      <c r="E543" s="216"/>
      <c r="F543" s="216"/>
      <c r="G543" s="217"/>
      <c r="H543" s="218"/>
      <c r="I543" s="218" t="s">
        <v>1517</v>
      </c>
      <c r="J543" s="218"/>
    </row>
    <row r="544" spans="1:10" ht="15.75" customHeight="1" x14ac:dyDescent="0.45">
      <c r="A544" s="226"/>
      <c r="B544" s="226"/>
      <c r="C544" s="216"/>
      <c r="D544" s="216"/>
      <c r="E544" s="216"/>
      <c r="F544" s="216"/>
      <c r="G544" s="217"/>
      <c r="H544" s="218"/>
      <c r="I544" s="218" t="s">
        <v>1517</v>
      </c>
      <c r="J544" s="218"/>
    </row>
    <row r="545" spans="1:10" ht="15.75" customHeight="1" x14ac:dyDescent="0.45">
      <c r="A545" s="226"/>
      <c r="B545" s="226"/>
      <c r="C545" s="216"/>
      <c r="D545" s="216"/>
      <c r="E545" s="216"/>
      <c r="F545" s="216"/>
      <c r="G545" s="217"/>
      <c r="H545" s="218"/>
      <c r="I545" s="218" t="s">
        <v>1517</v>
      </c>
      <c r="J545" s="218"/>
    </row>
    <row r="546" spans="1:10" ht="15.75" customHeight="1" x14ac:dyDescent="0.45">
      <c r="A546" s="226"/>
      <c r="B546" s="226"/>
      <c r="C546" s="216"/>
      <c r="D546" s="216"/>
      <c r="E546" s="216"/>
      <c r="F546" s="216"/>
      <c r="G546" s="217"/>
      <c r="H546" s="218"/>
      <c r="I546" s="218" t="s">
        <v>1517</v>
      </c>
      <c r="J546" s="218"/>
    </row>
    <row r="547" spans="1:10" ht="15.75" customHeight="1" x14ac:dyDescent="0.45">
      <c r="A547" s="226"/>
      <c r="B547" s="226"/>
      <c r="C547" s="216"/>
      <c r="D547" s="216"/>
      <c r="E547" s="216"/>
      <c r="F547" s="216"/>
      <c r="G547" s="217"/>
      <c r="H547" s="218"/>
      <c r="I547" s="218" t="s">
        <v>1517</v>
      </c>
      <c r="J547" s="218"/>
    </row>
    <row r="548" spans="1:10" ht="15.75" customHeight="1" x14ac:dyDescent="0.45">
      <c r="A548" s="226"/>
      <c r="B548" s="226"/>
      <c r="C548" s="216"/>
      <c r="D548" s="216"/>
      <c r="E548" s="216"/>
      <c r="F548" s="216"/>
      <c r="G548" s="217"/>
      <c r="H548" s="218"/>
      <c r="I548" s="218" t="s">
        <v>1517</v>
      </c>
      <c r="J548" s="218"/>
    </row>
    <row r="549" spans="1:10" ht="15.75" customHeight="1" x14ac:dyDescent="0.45">
      <c r="A549" s="226"/>
      <c r="B549" s="226"/>
      <c r="C549" s="216"/>
      <c r="D549" s="216"/>
      <c r="E549" s="216"/>
      <c r="F549" s="216"/>
      <c r="G549" s="217"/>
      <c r="H549" s="218"/>
      <c r="I549" s="218" t="s">
        <v>1517</v>
      </c>
      <c r="J549" s="218"/>
    </row>
    <row r="550" spans="1:10" ht="15.75" customHeight="1" x14ac:dyDescent="0.45">
      <c r="A550" s="226"/>
      <c r="B550" s="226"/>
      <c r="C550" s="216"/>
      <c r="D550" s="216"/>
      <c r="E550" s="216"/>
      <c r="F550" s="216"/>
      <c r="G550" s="217"/>
      <c r="H550" s="218"/>
      <c r="I550" s="218" t="s">
        <v>1517</v>
      </c>
      <c r="J550" s="218"/>
    </row>
    <row r="551" spans="1:10" ht="15.75" customHeight="1" x14ac:dyDescent="0.45">
      <c r="A551" s="226"/>
      <c r="B551" s="226"/>
      <c r="C551" s="216"/>
      <c r="D551" s="216"/>
      <c r="E551" s="216"/>
      <c r="F551" s="216"/>
      <c r="G551" s="217"/>
      <c r="H551" s="218"/>
      <c r="I551" s="218" t="s">
        <v>1517</v>
      </c>
      <c r="J551" s="218"/>
    </row>
    <row r="552" spans="1:10" ht="15.75" customHeight="1" x14ac:dyDescent="0.45">
      <c r="A552" s="226"/>
      <c r="B552" s="226"/>
      <c r="C552" s="216"/>
      <c r="D552" s="216"/>
      <c r="E552" s="216"/>
      <c r="F552" s="216"/>
      <c r="G552" s="217"/>
      <c r="H552" s="218"/>
      <c r="I552" s="218" t="s">
        <v>1517</v>
      </c>
      <c r="J552" s="218"/>
    </row>
    <row r="553" spans="1:10" ht="15.75" customHeight="1" x14ac:dyDescent="0.45">
      <c r="A553" s="226"/>
      <c r="B553" s="226"/>
      <c r="C553" s="216"/>
      <c r="D553" s="216"/>
      <c r="E553" s="216"/>
      <c r="F553" s="216"/>
      <c r="G553" s="217"/>
      <c r="H553" s="218"/>
      <c r="I553" s="218" t="s">
        <v>1517</v>
      </c>
      <c r="J553" s="218"/>
    </row>
    <row r="554" spans="1:10" ht="15.75" customHeight="1" x14ac:dyDescent="0.45">
      <c r="A554" s="226"/>
      <c r="B554" s="226"/>
      <c r="C554" s="216"/>
      <c r="D554" s="216"/>
      <c r="E554" s="216"/>
      <c r="F554" s="216"/>
      <c r="G554" s="217"/>
      <c r="H554" s="218"/>
      <c r="I554" s="218" t="s">
        <v>1517</v>
      </c>
      <c r="J554" s="218"/>
    </row>
    <row r="555" spans="1:10" ht="15.75" customHeight="1" x14ac:dyDescent="0.45">
      <c r="A555" s="226"/>
      <c r="B555" s="226"/>
      <c r="C555" s="216"/>
      <c r="D555" s="216"/>
      <c r="E555" s="216"/>
      <c r="F555" s="216"/>
      <c r="G555" s="217"/>
      <c r="H555" s="218"/>
      <c r="I555" s="218" t="s">
        <v>1517</v>
      </c>
      <c r="J555" s="218"/>
    </row>
    <row r="556" spans="1:10" ht="15.75" customHeight="1" x14ac:dyDescent="0.45">
      <c r="A556" s="226"/>
      <c r="B556" s="226"/>
      <c r="C556" s="216"/>
      <c r="D556" s="216"/>
      <c r="E556" s="216"/>
      <c r="F556" s="216"/>
      <c r="G556" s="217"/>
      <c r="H556" s="218"/>
      <c r="I556" s="218" t="s">
        <v>1517</v>
      </c>
      <c r="J556" s="218"/>
    </row>
    <row r="557" spans="1:10" ht="15.75" customHeight="1" x14ac:dyDescent="0.45">
      <c r="A557" s="226"/>
      <c r="B557" s="226"/>
      <c r="C557" s="216"/>
      <c r="D557" s="216"/>
      <c r="E557" s="216"/>
      <c r="F557" s="216"/>
      <c r="G557" s="217"/>
      <c r="H557" s="218"/>
      <c r="I557" s="218" t="s">
        <v>1517</v>
      </c>
      <c r="J557" s="218"/>
    </row>
    <row r="558" spans="1:10" ht="15.75" customHeight="1" x14ac:dyDescent="0.45">
      <c r="A558" s="226"/>
      <c r="B558" s="226"/>
      <c r="C558" s="216"/>
      <c r="D558" s="216"/>
      <c r="E558" s="216"/>
      <c r="F558" s="216"/>
      <c r="G558" s="217"/>
      <c r="H558" s="218"/>
      <c r="I558" s="218" t="s">
        <v>1517</v>
      </c>
      <c r="J558" s="218"/>
    </row>
    <row r="559" spans="1:10" ht="15.75" customHeight="1" x14ac:dyDescent="0.45">
      <c r="A559" s="226"/>
      <c r="B559" s="226"/>
      <c r="C559" s="216"/>
      <c r="D559" s="216"/>
      <c r="E559" s="216"/>
      <c r="F559" s="216"/>
      <c r="G559" s="217"/>
      <c r="H559" s="218"/>
      <c r="I559" s="218" t="s">
        <v>1517</v>
      </c>
      <c r="J559" s="218"/>
    </row>
    <row r="560" spans="1:10" ht="15.75" customHeight="1" x14ac:dyDescent="0.45">
      <c r="A560" s="226"/>
      <c r="B560" s="226"/>
      <c r="C560" s="216"/>
      <c r="D560" s="216"/>
      <c r="E560" s="216"/>
      <c r="F560" s="216"/>
      <c r="G560" s="217"/>
      <c r="H560" s="218"/>
      <c r="I560" s="218" t="s">
        <v>1517</v>
      </c>
      <c r="J560" s="218"/>
    </row>
    <row r="561" spans="1:10" ht="15.75" customHeight="1" x14ac:dyDescent="0.45">
      <c r="A561" s="226"/>
      <c r="B561" s="226"/>
      <c r="C561" s="216"/>
      <c r="D561" s="216"/>
      <c r="E561" s="216"/>
      <c r="F561" s="216"/>
      <c r="G561" s="217"/>
      <c r="H561" s="218"/>
      <c r="I561" s="218" t="s">
        <v>1517</v>
      </c>
      <c r="J561" s="218"/>
    </row>
    <row r="562" spans="1:10" ht="15.75" customHeight="1" x14ac:dyDescent="0.45">
      <c r="A562" s="226"/>
      <c r="B562" s="226"/>
      <c r="C562" s="216"/>
      <c r="D562" s="216"/>
      <c r="E562" s="216"/>
      <c r="F562" s="216"/>
      <c r="G562" s="217"/>
      <c r="H562" s="218"/>
      <c r="I562" s="218" t="s">
        <v>1517</v>
      </c>
      <c r="J562" s="218"/>
    </row>
    <row r="563" spans="1:10" ht="15.75" customHeight="1" x14ac:dyDescent="0.45">
      <c r="A563" s="226"/>
      <c r="B563" s="226"/>
      <c r="C563" s="216"/>
      <c r="D563" s="216"/>
      <c r="E563" s="216"/>
      <c r="F563" s="216"/>
      <c r="G563" s="217"/>
      <c r="H563" s="218"/>
      <c r="I563" s="218" t="s">
        <v>1517</v>
      </c>
      <c r="J563" s="218"/>
    </row>
    <row r="564" spans="1:10" ht="15.75" customHeight="1" x14ac:dyDescent="0.45">
      <c r="A564" s="226"/>
      <c r="B564" s="226"/>
      <c r="C564" s="216"/>
      <c r="D564" s="216"/>
      <c r="E564" s="216"/>
      <c r="F564" s="216"/>
      <c r="G564" s="217"/>
      <c r="H564" s="218"/>
      <c r="I564" s="218" t="s">
        <v>1517</v>
      </c>
      <c r="J564" s="218"/>
    </row>
    <row r="565" spans="1:10" ht="15.75" customHeight="1" x14ac:dyDescent="0.45">
      <c r="A565" s="226"/>
      <c r="B565" s="226"/>
      <c r="C565" s="216"/>
      <c r="D565" s="216"/>
      <c r="E565" s="216"/>
      <c r="F565" s="216"/>
      <c r="G565" s="217"/>
      <c r="H565" s="218"/>
      <c r="I565" s="218" t="s">
        <v>1517</v>
      </c>
      <c r="J565" s="218"/>
    </row>
    <row r="566" spans="1:10" ht="15.75" customHeight="1" x14ac:dyDescent="0.45">
      <c r="A566" s="226"/>
      <c r="B566" s="226"/>
      <c r="C566" s="216"/>
      <c r="D566" s="216"/>
      <c r="E566" s="216"/>
      <c r="F566" s="216"/>
      <c r="G566" s="217"/>
      <c r="H566" s="218"/>
      <c r="I566" s="218" t="s">
        <v>1517</v>
      </c>
      <c r="J566" s="218"/>
    </row>
    <row r="567" spans="1:10" ht="15.75" customHeight="1" x14ac:dyDescent="0.45">
      <c r="A567" s="226"/>
      <c r="B567" s="226"/>
      <c r="C567" s="216"/>
      <c r="D567" s="216"/>
      <c r="E567" s="216"/>
      <c r="F567" s="216"/>
      <c r="G567" s="217"/>
      <c r="H567" s="218"/>
      <c r="I567" s="218" t="s">
        <v>1517</v>
      </c>
      <c r="J567" s="218"/>
    </row>
    <row r="568" spans="1:10" ht="15.75" customHeight="1" x14ac:dyDescent="0.45">
      <c r="A568" s="226"/>
      <c r="B568" s="226"/>
      <c r="C568" s="216"/>
      <c r="D568" s="216"/>
      <c r="E568" s="216"/>
      <c r="F568" s="216"/>
      <c r="G568" s="217"/>
      <c r="H568" s="218"/>
      <c r="I568" s="218" t="s">
        <v>1517</v>
      </c>
      <c r="J568" s="218"/>
    </row>
    <row r="569" spans="1:10" ht="15.75" customHeight="1" x14ac:dyDescent="0.45">
      <c r="A569" s="226"/>
      <c r="B569" s="226"/>
      <c r="C569" s="216"/>
      <c r="D569" s="216"/>
      <c r="E569" s="216"/>
      <c r="F569" s="216"/>
      <c r="G569" s="217"/>
      <c r="H569" s="218"/>
      <c r="I569" s="218" t="s">
        <v>1517</v>
      </c>
      <c r="J569" s="218"/>
    </row>
    <row r="570" spans="1:10" ht="15.75" customHeight="1" x14ac:dyDescent="0.45">
      <c r="A570" s="226"/>
      <c r="B570" s="226"/>
      <c r="C570" s="216"/>
      <c r="D570" s="216"/>
      <c r="E570" s="216"/>
      <c r="F570" s="216"/>
      <c r="G570" s="217"/>
      <c r="H570" s="218"/>
      <c r="I570" s="218" t="s">
        <v>1517</v>
      </c>
      <c r="J570" s="218"/>
    </row>
    <row r="571" spans="1:10" ht="15.75" customHeight="1" x14ac:dyDescent="0.45">
      <c r="A571" s="226"/>
      <c r="B571" s="226"/>
      <c r="C571" s="216"/>
      <c r="D571" s="216"/>
      <c r="E571" s="216"/>
      <c r="F571" s="216"/>
      <c r="G571" s="217"/>
      <c r="H571" s="218"/>
      <c r="I571" s="218" t="s">
        <v>1517</v>
      </c>
      <c r="J571" s="218"/>
    </row>
    <row r="572" spans="1:10" ht="15.75" customHeight="1" x14ac:dyDescent="0.45">
      <c r="A572" s="226"/>
      <c r="B572" s="226"/>
      <c r="C572" s="216"/>
      <c r="D572" s="216"/>
      <c r="E572" s="216"/>
      <c r="F572" s="216"/>
      <c r="G572" s="217"/>
      <c r="H572" s="218"/>
      <c r="I572" s="218" t="s">
        <v>1517</v>
      </c>
      <c r="J572" s="218"/>
    </row>
    <row r="573" spans="1:10" ht="15.75" customHeight="1" x14ac:dyDescent="0.45">
      <c r="A573" s="226"/>
      <c r="B573" s="226"/>
      <c r="C573" s="216"/>
      <c r="D573" s="216"/>
      <c r="E573" s="216"/>
      <c r="F573" s="216"/>
      <c r="G573" s="217"/>
      <c r="H573" s="218"/>
      <c r="I573" s="218" t="s">
        <v>1517</v>
      </c>
      <c r="J573" s="218"/>
    </row>
    <row r="574" spans="1:10" ht="15.75" customHeight="1" x14ac:dyDescent="0.45">
      <c r="A574" s="226"/>
      <c r="B574" s="226"/>
      <c r="C574" s="216"/>
      <c r="D574" s="216"/>
      <c r="E574" s="216"/>
      <c r="F574" s="216"/>
      <c r="G574" s="217"/>
      <c r="H574" s="218"/>
      <c r="I574" s="218" t="s">
        <v>1517</v>
      </c>
      <c r="J574" s="218"/>
    </row>
    <row r="575" spans="1:10" ht="15.75" customHeight="1" x14ac:dyDescent="0.45">
      <c r="A575" s="226"/>
      <c r="B575" s="226"/>
      <c r="C575" s="216"/>
      <c r="D575" s="216"/>
      <c r="E575" s="216"/>
      <c r="F575" s="216"/>
      <c r="G575" s="217"/>
      <c r="H575" s="218"/>
      <c r="I575" s="218" t="s">
        <v>1517</v>
      </c>
      <c r="J575" s="218"/>
    </row>
    <row r="576" spans="1:10" ht="15.75" customHeight="1" x14ac:dyDescent="0.45">
      <c r="A576" s="226"/>
      <c r="B576" s="226"/>
      <c r="C576" s="216"/>
      <c r="D576" s="216"/>
      <c r="E576" s="216"/>
      <c r="F576" s="216"/>
      <c r="G576" s="217"/>
      <c r="H576" s="218"/>
      <c r="I576" s="218" t="s">
        <v>1517</v>
      </c>
      <c r="J576" s="218"/>
    </row>
    <row r="577" spans="1:10" ht="15.75" customHeight="1" x14ac:dyDescent="0.45">
      <c r="A577" s="226"/>
      <c r="B577" s="226"/>
      <c r="C577" s="216"/>
      <c r="D577" s="216"/>
      <c r="E577" s="216"/>
      <c r="F577" s="216"/>
      <c r="G577" s="217"/>
      <c r="H577" s="218"/>
      <c r="I577" s="218" t="s">
        <v>1517</v>
      </c>
      <c r="J577" s="218"/>
    </row>
    <row r="578" spans="1:10" ht="15.75" customHeight="1" x14ac:dyDescent="0.45">
      <c r="A578" s="226"/>
      <c r="B578" s="226"/>
      <c r="C578" s="216"/>
      <c r="D578" s="216"/>
      <c r="E578" s="216"/>
      <c r="F578" s="216"/>
      <c r="G578" s="217"/>
      <c r="H578" s="218"/>
      <c r="I578" s="218" t="s">
        <v>1517</v>
      </c>
      <c r="J578" s="218"/>
    </row>
    <row r="579" spans="1:10" ht="15.75" customHeight="1" x14ac:dyDescent="0.45">
      <c r="A579" s="226"/>
      <c r="B579" s="226"/>
      <c r="C579" s="216"/>
      <c r="D579" s="216"/>
      <c r="E579" s="216"/>
      <c r="F579" s="216"/>
      <c r="G579" s="217"/>
      <c r="H579" s="218"/>
      <c r="I579" s="218" t="s">
        <v>1517</v>
      </c>
      <c r="J579" s="218"/>
    </row>
    <row r="580" spans="1:10" ht="15.75" customHeight="1" x14ac:dyDescent="0.45">
      <c r="A580" s="226"/>
      <c r="B580" s="226"/>
      <c r="C580" s="216"/>
      <c r="D580" s="216"/>
      <c r="E580" s="216"/>
      <c r="F580" s="216"/>
      <c r="G580" s="217"/>
      <c r="H580" s="218"/>
      <c r="I580" s="218" t="s">
        <v>1517</v>
      </c>
      <c r="J580" s="218"/>
    </row>
    <row r="581" spans="1:10" ht="15.75" customHeight="1" x14ac:dyDescent="0.45">
      <c r="A581" s="226"/>
      <c r="B581" s="226"/>
      <c r="C581" s="216"/>
      <c r="D581" s="216"/>
      <c r="E581" s="216"/>
      <c r="F581" s="216"/>
      <c r="G581" s="217"/>
      <c r="H581" s="218"/>
      <c r="I581" s="218" t="s">
        <v>1517</v>
      </c>
      <c r="J581" s="218"/>
    </row>
    <row r="582" spans="1:10" ht="15.75" customHeight="1" x14ac:dyDescent="0.45">
      <c r="A582" s="226"/>
      <c r="B582" s="226"/>
      <c r="C582" s="216"/>
      <c r="D582" s="216"/>
      <c r="E582" s="216"/>
      <c r="F582" s="216"/>
      <c r="G582" s="217"/>
      <c r="H582" s="218"/>
      <c r="I582" s="218" t="s">
        <v>1517</v>
      </c>
      <c r="J582" s="218"/>
    </row>
    <row r="583" spans="1:10" ht="15.75" customHeight="1" x14ac:dyDescent="0.45">
      <c r="A583" s="226"/>
      <c r="B583" s="226"/>
      <c r="C583" s="216"/>
      <c r="D583" s="216"/>
      <c r="E583" s="216"/>
      <c r="F583" s="216"/>
      <c r="G583" s="217"/>
      <c r="H583" s="218"/>
      <c r="I583" s="218" t="s">
        <v>1517</v>
      </c>
      <c r="J583" s="218"/>
    </row>
    <row r="584" spans="1:10" ht="15.75" customHeight="1" x14ac:dyDescent="0.45">
      <c r="A584" s="226"/>
      <c r="B584" s="226"/>
      <c r="C584" s="216"/>
      <c r="D584" s="216"/>
      <c r="E584" s="216"/>
      <c r="F584" s="216"/>
      <c r="G584" s="217"/>
      <c r="H584" s="218"/>
      <c r="I584" s="218" t="s">
        <v>1517</v>
      </c>
      <c r="J584" s="218"/>
    </row>
    <row r="585" spans="1:10" ht="15.75" customHeight="1" x14ac:dyDescent="0.45">
      <c r="A585" s="226"/>
      <c r="B585" s="226"/>
      <c r="C585" s="216"/>
      <c r="D585" s="216"/>
      <c r="E585" s="216"/>
      <c r="F585" s="216"/>
      <c r="G585" s="217"/>
      <c r="H585" s="218"/>
      <c r="I585" s="218" t="s">
        <v>1517</v>
      </c>
      <c r="J585" s="218"/>
    </row>
    <row r="586" spans="1:10" ht="15.75" customHeight="1" x14ac:dyDescent="0.45">
      <c r="A586" s="226"/>
      <c r="B586" s="226"/>
      <c r="C586" s="216"/>
      <c r="D586" s="216"/>
      <c r="E586" s="216"/>
      <c r="F586" s="216"/>
      <c r="G586" s="217"/>
      <c r="H586" s="218"/>
      <c r="I586" s="218" t="s">
        <v>1517</v>
      </c>
      <c r="J586" s="218"/>
    </row>
    <row r="587" spans="1:10" ht="15.75" customHeight="1" x14ac:dyDescent="0.45">
      <c r="A587" s="226"/>
      <c r="B587" s="226"/>
      <c r="C587" s="216"/>
      <c r="D587" s="216"/>
      <c r="E587" s="216"/>
      <c r="F587" s="216"/>
      <c r="G587" s="217"/>
      <c r="H587" s="218"/>
      <c r="I587" s="218" t="s">
        <v>1517</v>
      </c>
      <c r="J587" s="218"/>
    </row>
    <row r="588" spans="1:10" ht="15.75" customHeight="1" x14ac:dyDescent="0.45">
      <c r="A588" s="226"/>
      <c r="B588" s="226"/>
      <c r="C588" s="216"/>
      <c r="D588" s="216"/>
      <c r="E588" s="216"/>
      <c r="F588" s="216"/>
      <c r="G588" s="217"/>
      <c r="H588" s="218"/>
      <c r="I588" s="218" t="s">
        <v>1517</v>
      </c>
      <c r="J588" s="218"/>
    </row>
    <row r="589" spans="1:10" ht="15.75" customHeight="1" x14ac:dyDescent="0.45">
      <c r="A589" s="226"/>
      <c r="B589" s="226"/>
      <c r="C589" s="216"/>
      <c r="D589" s="216"/>
      <c r="E589" s="216"/>
      <c r="F589" s="216"/>
      <c r="G589" s="217"/>
      <c r="H589" s="218"/>
      <c r="I589" s="218" t="s">
        <v>1517</v>
      </c>
      <c r="J589" s="218"/>
    </row>
    <row r="590" spans="1:10" ht="15.75" customHeight="1" x14ac:dyDescent="0.45">
      <c r="A590" s="226"/>
      <c r="B590" s="226"/>
      <c r="C590" s="216"/>
      <c r="D590" s="216"/>
      <c r="E590" s="216"/>
      <c r="F590" s="216"/>
      <c r="G590" s="217"/>
      <c r="H590" s="218"/>
      <c r="I590" s="218" t="s">
        <v>1517</v>
      </c>
      <c r="J590" s="218"/>
    </row>
    <row r="591" spans="1:10" ht="15.75" customHeight="1" x14ac:dyDescent="0.45">
      <c r="A591" s="226"/>
      <c r="B591" s="226"/>
      <c r="C591" s="216"/>
      <c r="D591" s="216"/>
      <c r="E591" s="216"/>
      <c r="F591" s="216"/>
      <c r="G591" s="217"/>
      <c r="H591" s="218"/>
      <c r="I591" s="218" t="s">
        <v>1517</v>
      </c>
      <c r="J591" s="218"/>
    </row>
    <row r="592" spans="1:10" ht="15.75" customHeight="1" x14ac:dyDescent="0.45">
      <c r="A592" s="226"/>
      <c r="B592" s="226"/>
      <c r="C592" s="216"/>
      <c r="D592" s="216"/>
      <c r="E592" s="216"/>
      <c r="F592" s="216"/>
      <c r="G592" s="217"/>
      <c r="H592" s="218"/>
      <c r="I592" s="218" t="s">
        <v>1517</v>
      </c>
      <c r="J592" s="218"/>
    </row>
    <row r="593" spans="1:10" ht="15.75" customHeight="1" x14ac:dyDescent="0.45">
      <c r="A593" s="226"/>
      <c r="B593" s="226"/>
      <c r="C593" s="216"/>
      <c r="D593" s="216"/>
      <c r="E593" s="216"/>
      <c r="F593" s="216"/>
      <c r="G593" s="217"/>
      <c r="H593" s="218"/>
      <c r="I593" s="218" t="s">
        <v>1517</v>
      </c>
      <c r="J593" s="218"/>
    </row>
    <row r="594" spans="1:10" ht="15.75" customHeight="1" x14ac:dyDescent="0.45">
      <c r="A594" s="226"/>
      <c r="B594" s="226"/>
      <c r="C594" s="216"/>
      <c r="D594" s="216"/>
      <c r="E594" s="216"/>
      <c r="F594" s="216"/>
      <c r="G594" s="217"/>
      <c r="H594" s="218"/>
      <c r="I594" s="218" t="s">
        <v>1517</v>
      </c>
      <c r="J594" s="218"/>
    </row>
    <row r="595" spans="1:10" ht="15.75" customHeight="1" x14ac:dyDescent="0.45">
      <c r="A595" s="226"/>
      <c r="B595" s="226"/>
      <c r="C595" s="216"/>
      <c r="D595" s="216"/>
      <c r="E595" s="216"/>
      <c r="F595" s="216"/>
      <c r="G595" s="217"/>
      <c r="H595" s="218"/>
      <c r="I595" s="218" t="s">
        <v>1517</v>
      </c>
      <c r="J595" s="218"/>
    </row>
    <row r="596" spans="1:10" ht="15.75" customHeight="1" x14ac:dyDescent="0.45">
      <c r="A596" s="226"/>
      <c r="B596" s="226"/>
      <c r="C596" s="216"/>
      <c r="D596" s="216"/>
      <c r="E596" s="216"/>
      <c r="F596" s="216"/>
      <c r="G596" s="217"/>
      <c r="H596" s="218"/>
      <c r="I596" s="218" t="s">
        <v>1517</v>
      </c>
      <c r="J596" s="218"/>
    </row>
    <row r="597" spans="1:10" ht="15.75" customHeight="1" x14ac:dyDescent="0.45">
      <c r="A597" s="226"/>
      <c r="B597" s="226"/>
      <c r="C597" s="216"/>
      <c r="D597" s="216"/>
      <c r="E597" s="216"/>
      <c r="F597" s="216"/>
      <c r="G597" s="217"/>
      <c r="H597" s="218"/>
      <c r="I597" s="218" t="s">
        <v>1517</v>
      </c>
      <c r="J597" s="218"/>
    </row>
    <row r="598" spans="1:10" ht="15.75" customHeight="1" x14ac:dyDescent="0.45">
      <c r="A598" s="226"/>
      <c r="B598" s="226"/>
      <c r="C598" s="216"/>
      <c r="D598" s="216"/>
      <c r="E598" s="216"/>
      <c r="F598" s="216"/>
      <c r="G598" s="217"/>
      <c r="H598" s="218"/>
      <c r="I598" s="218" t="s">
        <v>1517</v>
      </c>
      <c r="J598" s="218"/>
    </row>
    <row r="599" spans="1:10" ht="15.75" customHeight="1" x14ac:dyDescent="0.45">
      <c r="A599" s="226"/>
      <c r="B599" s="226"/>
      <c r="C599" s="216"/>
      <c r="D599" s="216"/>
      <c r="E599" s="216"/>
      <c r="F599" s="216"/>
      <c r="G599" s="217"/>
      <c r="H599" s="218"/>
      <c r="I599" s="218" t="s">
        <v>1517</v>
      </c>
      <c r="J599" s="218"/>
    </row>
    <row r="600" spans="1:10" ht="15.75" customHeight="1" x14ac:dyDescent="0.45">
      <c r="A600" s="226"/>
      <c r="B600" s="226"/>
      <c r="C600" s="216"/>
      <c r="D600" s="216"/>
      <c r="E600" s="216"/>
      <c r="F600" s="216"/>
      <c r="G600" s="217"/>
      <c r="H600" s="218"/>
      <c r="I600" s="218" t="s">
        <v>1517</v>
      </c>
      <c r="J600" s="218"/>
    </row>
    <row r="601" spans="1:10" ht="15.75" customHeight="1" x14ac:dyDescent="0.45">
      <c r="A601" s="226"/>
      <c r="B601" s="226"/>
      <c r="C601" s="216"/>
      <c r="D601" s="216"/>
      <c r="E601" s="216"/>
      <c r="F601" s="216"/>
      <c r="G601" s="217"/>
      <c r="H601" s="218"/>
      <c r="I601" s="218" t="s">
        <v>1517</v>
      </c>
      <c r="J601" s="218"/>
    </row>
    <row r="602" spans="1:10" ht="15.75" customHeight="1" x14ac:dyDescent="0.45">
      <c r="A602" s="226"/>
      <c r="B602" s="226"/>
      <c r="C602" s="216"/>
      <c r="D602" s="216"/>
      <c r="E602" s="216"/>
      <c r="F602" s="216"/>
      <c r="G602" s="217"/>
      <c r="H602" s="218"/>
      <c r="I602" s="218" t="s">
        <v>1517</v>
      </c>
      <c r="J602" s="218"/>
    </row>
    <row r="603" spans="1:10" ht="15.75" customHeight="1" x14ac:dyDescent="0.45">
      <c r="A603" s="226"/>
      <c r="B603" s="226"/>
      <c r="C603" s="216"/>
      <c r="D603" s="216"/>
      <c r="E603" s="216"/>
      <c r="F603" s="216"/>
      <c r="G603" s="217"/>
      <c r="H603" s="218"/>
      <c r="I603" s="218" t="s">
        <v>1517</v>
      </c>
      <c r="J603" s="218"/>
    </row>
    <row r="604" spans="1:10" ht="15.75" customHeight="1" x14ac:dyDescent="0.45">
      <c r="A604" s="226"/>
      <c r="B604" s="226"/>
      <c r="C604" s="216"/>
      <c r="D604" s="216"/>
      <c r="E604" s="216"/>
      <c r="F604" s="216"/>
      <c r="G604" s="217"/>
      <c r="H604" s="218"/>
      <c r="I604" s="218" t="s">
        <v>1517</v>
      </c>
      <c r="J604" s="218"/>
    </row>
    <row r="605" spans="1:10" ht="15.75" customHeight="1" x14ac:dyDescent="0.45">
      <c r="A605" s="226"/>
      <c r="B605" s="226"/>
      <c r="C605" s="216"/>
      <c r="D605" s="216"/>
      <c r="E605" s="216"/>
      <c r="F605" s="216"/>
      <c r="G605" s="217"/>
      <c r="H605" s="218"/>
      <c r="I605" s="218" t="s">
        <v>1517</v>
      </c>
      <c r="J605" s="218"/>
    </row>
    <row r="606" spans="1:10" ht="15.75" customHeight="1" x14ac:dyDescent="0.45">
      <c r="A606" s="226"/>
      <c r="B606" s="226"/>
      <c r="C606" s="216"/>
      <c r="D606" s="216"/>
      <c r="E606" s="216"/>
      <c r="F606" s="216"/>
      <c r="G606" s="217"/>
      <c r="H606" s="218"/>
      <c r="I606" s="218" t="s">
        <v>1517</v>
      </c>
      <c r="J606" s="218"/>
    </row>
    <row r="607" spans="1:10" ht="15.75" customHeight="1" x14ac:dyDescent="0.45">
      <c r="A607" s="226"/>
      <c r="B607" s="226"/>
      <c r="C607" s="216"/>
      <c r="D607" s="216"/>
      <c r="E607" s="216"/>
      <c r="F607" s="216"/>
      <c r="G607" s="217"/>
      <c r="H607" s="218"/>
      <c r="I607" s="218" t="s">
        <v>1517</v>
      </c>
      <c r="J607" s="218"/>
    </row>
    <row r="608" spans="1:10" ht="15.75" customHeight="1" x14ac:dyDescent="0.45">
      <c r="A608" s="226"/>
      <c r="B608" s="226"/>
      <c r="C608" s="216"/>
      <c r="D608" s="216"/>
      <c r="E608" s="216"/>
      <c r="F608" s="216"/>
      <c r="G608" s="217"/>
      <c r="H608" s="218"/>
      <c r="I608" s="218" t="s">
        <v>1517</v>
      </c>
      <c r="J608" s="218"/>
    </row>
    <row r="609" spans="1:10" ht="15.75" customHeight="1" x14ac:dyDescent="0.45">
      <c r="A609" s="226"/>
      <c r="B609" s="226"/>
      <c r="C609" s="216"/>
      <c r="D609" s="216"/>
      <c r="E609" s="216"/>
      <c r="F609" s="216"/>
      <c r="G609" s="217"/>
      <c r="H609" s="218"/>
      <c r="I609" s="218" t="s">
        <v>1517</v>
      </c>
      <c r="J609" s="218"/>
    </row>
    <row r="610" spans="1:10" ht="15.75" customHeight="1" x14ac:dyDescent="0.45">
      <c r="A610" s="226"/>
      <c r="B610" s="226"/>
      <c r="C610" s="216"/>
      <c r="D610" s="216"/>
      <c r="E610" s="216"/>
      <c r="F610" s="216"/>
      <c r="G610" s="217"/>
      <c r="H610" s="218"/>
      <c r="I610" s="218" t="s">
        <v>1517</v>
      </c>
      <c r="J610" s="218"/>
    </row>
    <row r="611" spans="1:10" ht="15.75" customHeight="1" x14ac:dyDescent="0.45">
      <c r="A611" s="226"/>
      <c r="B611" s="226"/>
      <c r="C611" s="216"/>
      <c r="D611" s="216"/>
      <c r="E611" s="216"/>
      <c r="F611" s="216"/>
      <c r="G611" s="217"/>
      <c r="H611" s="218"/>
      <c r="I611" s="218" t="s">
        <v>1517</v>
      </c>
      <c r="J611" s="218"/>
    </row>
    <row r="612" spans="1:10" ht="15.75" customHeight="1" x14ac:dyDescent="0.45">
      <c r="A612" s="226"/>
      <c r="B612" s="226"/>
      <c r="C612" s="216"/>
      <c r="D612" s="216"/>
      <c r="E612" s="216"/>
      <c r="F612" s="216"/>
      <c r="G612" s="217"/>
      <c r="H612" s="218"/>
      <c r="I612" s="218" t="s">
        <v>1517</v>
      </c>
      <c r="J612" s="218"/>
    </row>
    <row r="613" spans="1:10" ht="15.75" customHeight="1" x14ac:dyDescent="0.45">
      <c r="A613" s="226"/>
      <c r="B613" s="226"/>
      <c r="C613" s="216"/>
      <c r="D613" s="216"/>
      <c r="E613" s="216"/>
      <c r="F613" s="216"/>
      <c r="G613" s="217"/>
      <c r="H613" s="218"/>
      <c r="I613" s="218" t="s">
        <v>1517</v>
      </c>
      <c r="J613" s="218"/>
    </row>
    <row r="614" spans="1:10" ht="15.75" customHeight="1" x14ac:dyDescent="0.45">
      <c r="A614" s="226"/>
      <c r="B614" s="226"/>
      <c r="C614" s="216"/>
      <c r="D614" s="216"/>
      <c r="E614" s="216"/>
      <c r="F614" s="216"/>
      <c r="G614" s="217"/>
      <c r="H614" s="218"/>
      <c r="I614" s="218" t="s">
        <v>1517</v>
      </c>
      <c r="J614" s="218"/>
    </row>
    <row r="615" spans="1:10" ht="15.75" customHeight="1" x14ac:dyDescent="0.45">
      <c r="A615" s="226"/>
      <c r="B615" s="226"/>
      <c r="C615" s="216"/>
      <c r="D615" s="216"/>
      <c r="E615" s="216"/>
      <c r="F615" s="216"/>
      <c r="G615" s="217"/>
      <c r="H615" s="218"/>
      <c r="I615" s="218" t="s">
        <v>1517</v>
      </c>
      <c r="J615" s="218"/>
    </row>
    <row r="616" spans="1:10" ht="15.75" customHeight="1" x14ac:dyDescent="0.45">
      <c r="A616" s="226"/>
      <c r="B616" s="226"/>
      <c r="C616" s="216"/>
      <c r="D616" s="216"/>
      <c r="E616" s="216"/>
      <c r="F616" s="216"/>
      <c r="G616" s="217"/>
      <c r="H616" s="218"/>
      <c r="I616" s="218" t="s">
        <v>1517</v>
      </c>
      <c r="J616" s="218"/>
    </row>
    <row r="617" spans="1:10" ht="15.75" customHeight="1" x14ac:dyDescent="0.45">
      <c r="A617" s="226"/>
      <c r="B617" s="226"/>
      <c r="C617" s="216"/>
      <c r="D617" s="216"/>
      <c r="E617" s="216"/>
      <c r="F617" s="216"/>
      <c r="G617" s="217"/>
      <c r="H617" s="218"/>
      <c r="I617" s="218" t="s">
        <v>1517</v>
      </c>
      <c r="J617" s="218"/>
    </row>
    <row r="618" spans="1:10" ht="15.75" customHeight="1" x14ac:dyDescent="0.45">
      <c r="A618" s="226"/>
      <c r="B618" s="226"/>
      <c r="C618" s="216"/>
      <c r="D618" s="216"/>
      <c r="E618" s="216"/>
      <c r="F618" s="216"/>
      <c r="G618" s="217"/>
      <c r="H618" s="218"/>
      <c r="I618" s="218" t="s">
        <v>1517</v>
      </c>
      <c r="J618" s="218"/>
    </row>
    <row r="619" spans="1:10" ht="15.75" customHeight="1" x14ac:dyDescent="0.45">
      <c r="A619" s="226"/>
      <c r="B619" s="226"/>
      <c r="C619" s="216"/>
      <c r="D619" s="216"/>
      <c r="E619" s="216"/>
      <c r="F619" s="216"/>
      <c r="G619" s="217"/>
      <c r="H619" s="218"/>
      <c r="I619" s="218" t="s">
        <v>1517</v>
      </c>
      <c r="J619" s="218"/>
    </row>
    <row r="620" spans="1:10" ht="15.75" customHeight="1" x14ac:dyDescent="0.45">
      <c r="A620" s="226"/>
      <c r="B620" s="226"/>
      <c r="C620" s="216"/>
      <c r="D620" s="216"/>
      <c r="E620" s="216"/>
      <c r="F620" s="216"/>
      <c r="G620" s="217"/>
      <c r="H620" s="218"/>
      <c r="I620" s="218" t="s">
        <v>1517</v>
      </c>
      <c r="J620" s="218"/>
    </row>
    <row r="621" spans="1:10" ht="15.75" customHeight="1" x14ac:dyDescent="0.45">
      <c r="A621" s="226"/>
      <c r="B621" s="226"/>
      <c r="C621" s="216"/>
      <c r="D621" s="216"/>
      <c r="E621" s="216"/>
      <c r="F621" s="216"/>
      <c r="G621" s="217"/>
      <c r="H621" s="218"/>
      <c r="I621" s="218" t="s">
        <v>1517</v>
      </c>
      <c r="J621" s="218"/>
    </row>
    <row r="622" spans="1:10" ht="15.75" customHeight="1" x14ac:dyDescent="0.45">
      <c r="A622" s="226"/>
      <c r="B622" s="226"/>
      <c r="C622" s="216"/>
      <c r="D622" s="216"/>
      <c r="E622" s="216"/>
      <c r="F622" s="216"/>
      <c r="G622" s="217"/>
      <c r="H622" s="218"/>
      <c r="I622" s="218" t="s">
        <v>1517</v>
      </c>
      <c r="J622" s="218"/>
    </row>
    <row r="623" spans="1:10" ht="15.75" customHeight="1" x14ac:dyDescent="0.45">
      <c r="A623" s="226"/>
      <c r="B623" s="226"/>
      <c r="C623" s="216"/>
      <c r="D623" s="216"/>
      <c r="E623" s="216"/>
      <c r="F623" s="216"/>
      <c r="G623" s="217"/>
      <c r="H623" s="218"/>
      <c r="I623" s="218" t="s">
        <v>1517</v>
      </c>
      <c r="J623" s="218"/>
    </row>
    <row r="624" spans="1:10" ht="15.75" customHeight="1" x14ac:dyDescent="0.45">
      <c r="A624" s="226"/>
      <c r="B624" s="226"/>
      <c r="C624" s="216"/>
      <c r="D624" s="216"/>
      <c r="E624" s="216"/>
      <c r="F624" s="216"/>
      <c r="G624" s="217"/>
      <c r="H624" s="218"/>
      <c r="I624" s="218" t="s">
        <v>1517</v>
      </c>
      <c r="J624" s="218"/>
    </row>
    <row r="625" spans="1:10" ht="15.75" customHeight="1" x14ac:dyDescent="0.45">
      <c r="A625" s="226"/>
      <c r="B625" s="226"/>
      <c r="C625" s="216"/>
      <c r="D625" s="216"/>
      <c r="E625" s="216"/>
      <c r="F625" s="216"/>
      <c r="G625" s="217"/>
      <c r="H625" s="218"/>
      <c r="I625" s="218" t="s">
        <v>1517</v>
      </c>
      <c r="J625" s="218"/>
    </row>
    <row r="626" spans="1:10" ht="15.75" customHeight="1" x14ac:dyDescent="0.45">
      <c r="A626" s="226"/>
      <c r="B626" s="226"/>
      <c r="C626" s="216"/>
      <c r="D626" s="216"/>
      <c r="E626" s="216"/>
      <c r="F626" s="216"/>
      <c r="G626" s="217"/>
      <c r="H626" s="218"/>
      <c r="I626" s="218" t="s">
        <v>1517</v>
      </c>
      <c r="J626" s="218"/>
    </row>
    <row r="627" spans="1:10" ht="15.75" customHeight="1" x14ac:dyDescent="0.45">
      <c r="A627" s="226"/>
      <c r="B627" s="226"/>
      <c r="C627" s="216"/>
      <c r="D627" s="216"/>
      <c r="E627" s="216"/>
      <c r="F627" s="216"/>
      <c r="G627" s="217"/>
      <c r="H627" s="218"/>
      <c r="I627" s="218" t="s">
        <v>1517</v>
      </c>
      <c r="J627" s="218"/>
    </row>
    <row r="628" spans="1:10" ht="15.75" customHeight="1" x14ac:dyDescent="0.45">
      <c r="A628" s="226"/>
      <c r="B628" s="226"/>
      <c r="C628" s="216"/>
      <c r="D628" s="216"/>
      <c r="E628" s="216"/>
      <c r="F628" s="216"/>
      <c r="G628" s="217"/>
      <c r="H628" s="218"/>
      <c r="I628" s="218" t="s">
        <v>1517</v>
      </c>
      <c r="J628" s="218"/>
    </row>
    <row r="629" spans="1:10" ht="15.75" customHeight="1" x14ac:dyDescent="0.45">
      <c r="A629" s="226"/>
      <c r="B629" s="226"/>
      <c r="C629" s="216"/>
      <c r="D629" s="216"/>
      <c r="E629" s="216"/>
      <c r="F629" s="216"/>
      <c r="G629" s="217"/>
      <c r="H629" s="218"/>
      <c r="I629" s="218" t="s">
        <v>1517</v>
      </c>
      <c r="J629" s="218"/>
    </row>
    <row r="630" spans="1:10" ht="15.75" customHeight="1" x14ac:dyDescent="0.45">
      <c r="A630" s="226"/>
      <c r="B630" s="226"/>
      <c r="C630" s="216"/>
      <c r="D630" s="216"/>
      <c r="E630" s="216"/>
      <c r="F630" s="216"/>
      <c r="G630" s="217"/>
      <c r="H630" s="218"/>
      <c r="I630" s="218" t="s">
        <v>1517</v>
      </c>
      <c r="J630" s="218"/>
    </row>
    <row r="631" spans="1:10" ht="15.75" customHeight="1" x14ac:dyDescent="0.45">
      <c r="A631" s="226"/>
      <c r="B631" s="226"/>
      <c r="C631" s="216"/>
      <c r="D631" s="216"/>
      <c r="E631" s="216"/>
      <c r="F631" s="216"/>
      <c r="G631" s="217"/>
      <c r="H631" s="218"/>
      <c r="I631" s="218" t="s">
        <v>1517</v>
      </c>
      <c r="J631" s="218"/>
    </row>
    <row r="632" spans="1:10" ht="15.75" customHeight="1" x14ac:dyDescent="0.45">
      <c r="A632" s="226"/>
      <c r="B632" s="226"/>
      <c r="C632" s="216"/>
      <c r="D632" s="216"/>
      <c r="E632" s="216"/>
      <c r="F632" s="216"/>
      <c r="G632" s="217"/>
      <c r="H632" s="218"/>
      <c r="I632" s="218" t="s">
        <v>1517</v>
      </c>
      <c r="J632" s="218"/>
    </row>
    <row r="633" spans="1:10" ht="15.75" customHeight="1" x14ac:dyDescent="0.45">
      <c r="A633" s="226"/>
      <c r="B633" s="226"/>
      <c r="C633" s="216"/>
      <c r="D633" s="216"/>
      <c r="E633" s="216"/>
      <c r="F633" s="216"/>
      <c r="G633" s="217"/>
      <c r="H633" s="218"/>
      <c r="I633" s="218" t="s">
        <v>1517</v>
      </c>
      <c r="J633" s="218"/>
    </row>
    <row r="634" spans="1:10" ht="15.75" customHeight="1" x14ac:dyDescent="0.45">
      <c r="A634" s="226"/>
      <c r="B634" s="226"/>
      <c r="C634" s="216"/>
      <c r="D634" s="216"/>
      <c r="E634" s="216"/>
      <c r="F634" s="216"/>
      <c r="G634" s="217"/>
      <c r="H634" s="218"/>
      <c r="I634" s="218" t="s">
        <v>1517</v>
      </c>
      <c r="J634" s="218"/>
    </row>
    <row r="635" spans="1:10" ht="15.75" customHeight="1" x14ac:dyDescent="0.45">
      <c r="A635" s="226"/>
      <c r="B635" s="226"/>
      <c r="C635" s="216"/>
      <c r="D635" s="216"/>
      <c r="E635" s="216"/>
      <c r="F635" s="216"/>
      <c r="G635" s="217"/>
      <c r="H635" s="218"/>
      <c r="I635" s="218" t="s">
        <v>1517</v>
      </c>
      <c r="J635" s="218"/>
    </row>
    <row r="636" spans="1:10" ht="15.75" customHeight="1" x14ac:dyDescent="0.45">
      <c r="A636" s="226"/>
      <c r="B636" s="226"/>
      <c r="C636" s="216"/>
      <c r="D636" s="216"/>
      <c r="E636" s="216"/>
      <c r="F636" s="216"/>
      <c r="G636" s="217"/>
      <c r="H636" s="218"/>
      <c r="I636" s="218" t="s">
        <v>1517</v>
      </c>
      <c r="J636" s="218"/>
    </row>
    <row r="637" spans="1:10" ht="15.75" customHeight="1" x14ac:dyDescent="0.45">
      <c r="A637" s="226"/>
      <c r="B637" s="226"/>
      <c r="C637" s="216"/>
      <c r="D637" s="216"/>
      <c r="E637" s="216"/>
      <c r="F637" s="216"/>
      <c r="G637" s="217"/>
      <c r="H637" s="218"/>
      <c r="I637" s="218" t="s">
        <v>1517</v>
      </c>
      <c r="J637" s="218"/>
    </row>
    <row r="638" spans="1:10" ht="15.75" customHeight="1" x14ac:dyDescent="0.45">
      <c r="A638" s="226"/>
      <c r="B638" s="226"/>
      <c r="C638" s="216"/>
      <c r="D638" s="216"/>
      <c r="E638" s="216"/>
      <c r="F638" s="216"/>
      <c r="G638" s="217"/>
      <c r="H638" s="218"/>
      <c r="I638" s="218" t="s">
        <v>1517</v>
      </c>
      <c r="J638" s="218"/>
    </row>
    <row r="639" spans="1:10" ht="15.75" customHeight="1" x14ac:dyDescent="0.45">
      <c r="A639" s="226"/>
      <c r="B639" s="226"/>
      <c r="C639" s="216"/>
      <c r="D639" s="216"/>
      <c r="E639" s="216"/>
      <c r="F639" s="216"/>
      <c r="G639" s="217"/>
      <c r="H639" s="218"/>
      <c r="I639" s="218" t="s">
        <v>1517</v>
      </c>
      <c r="J639" s="218"/>
    </row>
    <row r="640" spans="1:10" ht="15.75" customHeight="1" x14ac:dyDescent="0.45">
      <c r="A640" s="226"/>
      <c r="B640" s="226"/>
      <c r="C640" s="216"/>
      <c r="D640" s="216"/>
      <c r="E640" s="216"/>
      <c r="F640" s="216"/>
      <c r="G640" s="217"/>
      <c r="H640" s="218"/>
      <c r="I640" s="218" t="s">
        <v>1517</v>
      </c>
      <c r="J640" s="218"/>
    </row>
    <row r="641" spans="1:10" ht="15.75" customHeight="1" x14ac:dyDescent="0.45">
      <c r="A641" s="226"/>
      <c r="B641" s="226"/>
      <c r="C641" s="216"/>
      <c r="D641" s="216"/>
      <c r="E641" s="216"/>
      <c r="F641" s="216"/>
      <c r="G641" s="217"/>
      <c r="H641" s="218"/>
      <c r="I641" s="218" t="s">
        <v>1517</v>
      </c>
      <c r="J641" s="218"/>
    </row>
    <row r="642" spans="1:10" ht="15.75" customHeight="1" x14ac:dyDescent="0.45">
      <c r="A642" s="226"/>
      <c r="B642" s="226"/>
      <c r="C642" s="216"/>
      <c r="D642" s="216"/>
      <c r="E642" s="216"/>
      <c r="F642" s="216"/>
      <c r="G642" s="217"/>
      <c r="H642" s="218"/>
      <c r="I642" s="218" t="s">
        <v>1517</v>
      </c>
      <c r="J642" s="218"/>
    </row>
    <row r="643" spans="1:10" ht="15.75" customHeight="1" x14ac:dyDescent="0.45">
      <c r="A643" s="226"/>
      <c r="B643" s="226"/>
      <c r="C643" s="216"/>
      <c r="D643" s="216"/>
      <c r="E643" s="216"/>
      <c r="F643" s="216"/>
      <c r="G643" s="217"/>
      <c r="H643" s="218"/>
      <c r="I643" s="218" t="s">
        <v>1517</v>
      </c>
      <c r="J643" s="218"/>
    </row>
    <row r="644" spans="1:10" ht="15.75" customHeight="1" x14ac:dyDescent="0.45">
      <c r="A644" s="226"/>
      <c r="B644" s="226"/>
      <c r="C644" s="216"/>
      <c r="D644" s="216"/>
      <c r="E644" s="216"/>
      <c r="F644" s="216"/>
      <c r="G644" s="217"/>
      <c r="H644" s="218"/>
      <c r="I644" s="218" t="s">
        <v>1517</v>
      </c>
      <c r="J644" s="218"/>
    </row>
    <row r="645" spans="1:10" ht="15.75" customHeight="1" x14ac:dyDescent="0.45">
      <c r="A645" s="226"/>
      <c r="B645" s="226"/>
      <c r="C645" s="216"/>
      <c r="D645" s="216"/>
      <c r="E645" s="216"/>
      <c r="F645" s="216"/>
      <c r="G645" s="217"/>
      <c r="H645" s="218"/>
      <c r="I645" s="218" t="s">
        <v>1517</v>
      </c>
      <c r="J645" s="218"/>
    </row>
    <row r="646" spans="1:10" ht="15.75" customHeight="1" x14ac:dyDescent="0.45">
      <c r="A646" s="226"/>
      <c r="B646" s="226"/>
      <c r="C646" s="216"/>
      <c r="D646" s="216"/>
      <c r="E646" s="216"/>
      <c r="F646" s="216"/>
      <c r="G646" s="217"/>
      <c r="H646" s="218"/>
      <c r="I646" s="218" t="s">
        <v>1517</v>
      </c>
      <c r="J646" s="218"/>
    </row>
    <row r="647" spans="1:10" ht="15.75" customHeight="1" x14ac:dyDescent="0.45">
      <c r="A647" s="226"/>
      <c r="B647" s="226"/>
      <c r="C647" s="216"/>
      <c r="D647" s="216"/>
      <c r="E647" s="216"/>
      <c r="F647" s="216"/>
      <c r="G647" s="217"/>
      <c r="H647" s="218"/>
      <c r="I647" s="218" t="s">
        <v>1517</v>
      </c>
      <c r="J647" s="218"/>
    </row>
    <row r="648" spans="1:10" ht="15.75" customHeight="1" x14ac:dyDescent="0.45">
      <c r="A648" s="226"/>
      <c r="B648" s="226"/>
      <c r="C648" s="216"/>
      <c r="D648" s="216"/>
      <c r="E648" s="216"/>
      <c r="F648" s="216"/>
      <c r="G648" s="217"/>
      <c r="H648" s="218"/>
      <c r="I648" s="218" t="s">
        <v>1517</v>
      </c>
      <c r="J648" s="218"/>
    </row>
    <row r="649" spans="1:10" ht="15.75" customHeight="1" x14ac:dyDescent="0.45">
      <c r="A649" s="226"/>
      <c r="B649" s="226"/>
      <c r="C649" s="216"/>
      <c r="D649" s="216"/>
      <c r="E649" s="216"/>
      <c r="F649" s="216"/>
      <c r="G649" s="217"/>
      <c r="H649" s="218"/>
      <c r="I649" s="218" t="s">
        <v>1517</v>
      </c>
      <c r="J649" s="218"/>
    </row>
    <row r="650" spans="1:10" ht="15.75" customHeight="1" x14ac:dyDescent="0.45">
      <c r="A650" s="226"/>
      <c r="B650" s="226"/>
      <c r="C650" s="216"/>
      <c r="D650" s="216"/>
      <c r="E650" s="216"/>
      <c r="F650" s="216"/>
      <c r="G650" s="217"/>
      <c r="H650" s="218"/>
      <c r="I650" s="218" t="s">
        <v>1517</v>
      </c>
      <c r="J650" s="218"/>
    </row>
    <row r="651" spans="1:10" ht="15.75" customHeight="1" x14ac:dyDescent="0.45">
      <c r="A651" s="226"/>
      <c r="B651" s="226"/>
      <c r="C651" s="216"/>
      <c r="D651" s="216"/>
      <c r="E651" s="216"/>
      <c r="F651" s="216"/>
      <c r="G651" s="217"/>
      <c r="H651" s="218"/>
      <c r="I651" s="218" t="s">
        <v>1517</v>
      </c>
      <c r="J651" s="218"/>
    </row>
    <row r="652" spans="1:10" ht="15.75" customHeight="1" x14ac:dyDescent="0.45">
      <c r="A652" s="226"/>
      <c r="B652" s="226"/>
      <c r="C652" s="216"/>
      <c r="D652" s="216"/>
      <c r="E652" s="216"/>
      <c r="F652" s="216"/>
      <c r="G652" s="217"/>
      <c r="H652" s="218"/>
      <c r="I652" s="218" t="s">
        <v>1517</v>
      </c>
      <c r="J652" s="218"/>
    </row>
    <row r="653" spans="1:10" ht="15.75" customHeight="1" x14ac:dyDescent="0.45">
      <c r="A653" s="226"/>
      <c r="B653" s="226"/>
      <c r="C653" s="216"/>
      <c r="D653" s="216"/>
      <c r="E653" s="216"/>
      <c r="F653" s="216"/>
      <c r="G653" s="217"/>
      <c r="H653" s="218"/>
      <c r="I653" s="218" t="s">
        <v>1517</v>
      </c>
      <c r="J653" s="218"/>
    </row>
    <row r="654" spans="1:10" ht="15.75" customHeight="1" x14ac:dyDescent="0.45">
      <c r="A654" s="226"/>
      <c r="B654" s="226"/>
      <c r="C654" s="216"/>
      <c r="D654" s="216"/>
      <c r="E654" s="216"/>
      <c r="F654" s="216"/>
      <c r="G654" s="217"/>
      <c r="H654" s="218"/>
      <c r="I654" s="218" t="s">
        <v>1517</v>
      </c>
      <c r="J654" s="218"/>
    </row>
    <row r="655" spans="1:10" ht="15.75" customHeight="1" x14ac:dyDescent="0.45">
      <c r="A655" s="226"/>
      <c r="B655" s="226"/>
      <c r="C655" s="216"/>
      <c r="D655" s="216"/>
      <c r="E655" s="216"/>
      <c r="F655" s="216"/>
      <c r="G655" s="217"/>
      <c r="H655" s="218"/>
      <c r="I655" s="218" t="s">
        <v>1517</v>
      </c>
      <c r="J655" s="218"/>
    </row>
    <row r="656" spans="1:10" ht="15.75" customHeight="1" x14ac:dyDescent="0.45">
      <c r="A656" s="226"/>
      <c r="B656" s="226"/>
      <c r="C656" s="216"/>
      <c r="D656" s="216"/>
      <c r="E656" s="216"/>
      <c r="F656" s="216"/>
      <c r="G656" s="217"/>
      <c r="H656" s="218"/>
      <c r="I656" s="218" t="s">
        <v>1517</v>
      </c>
      <c r="J656" s="218"/>
    </row>
    <row r="657" spans="1:10" ht="15.75" customHeight="1" x14ac:dyDescent="0.45">
      <c r="A657" s="226"/>
      <c r="B657" s="226"/>
      <c r="C657" s="216"/>
      <c r="D657" s="216"/>
      <c r="E657" s="216"/>
      <c r="F657" s="216"/>
      <c r="G657" s="217"/>
      <c r="H657" s="218"/>
      <c r="I657" s="218" t="s">
        <v>1517</v>
      </c>
      <c r="J657" s="218"/>
    </row>
    <row r="658" spans="1:10" ht="15.75" customHeight="1" x14ac:dyDescent="0.45">
      <c r="A658" s="226"/>
      <c r="B658" s="226"/>
      <c r="C658" s="216"/>
      <c r="D658" s="216"/>
      <c r="E658" s="216"/>
      <c r="F658" s="216"/>
      <c r="G658" s="217"/>
      <c r="H658" s="218"/>
      <c r="I658" s="218" t="s">
        <v>1517</v>
      </c>
      <c r="J658" s="218"/>
    </row>
    <row r="659" spans="1:10" ht="15.75" customHeight="1" x14ac:dyDescent="0.45">
      <c r="A659" s="226"/>
      <c r="B659" s="226"/>
      <c r="C659" s="216"/>
      <c r="D659" s="216"/>
      <c r="E659" s="216"/>
      <c r="F659" s="216"/>
      <c r="G659" s="217"/>
      <c r="H659" s="218"/>
      <c r="I659" s="218" t="s">
        <v>1517</v>
      </c>
      <c r="J659" s="218"/>
    </row>
    <row r="660" spans="1:10" ht="15.75" customHeight="1" x14ac:dyDescent="0.45">
      <c r="A660" s="226"/>
      <c r="B660" s="226"/>
      <c r="C660" s="216"/>
      <c r="D660" s="216"/>
      <c r="E660" s="216"/>
      <c r="F660" s="216"/>
      <c r="G660" s="217"/>
      <c r="H660" s="218"/>
      <c r="I660" s="218" t="s">
        <v>1517</v>
      </c>
      <c r="J660" s="218"/>
    </row>
    <row r="661" spans="1:10" ht="15.75" customHeight="1" x14ac:dyDescent="0.45">
      <c r="A661" s="226"/>
      <c r="B661" s="226"/>
      <c r="C661" s="216"/>
      <c r="D661" s="216"/>
      <c r="E661" s="216"/>
      <c r="F661" s="216"/>
      <c r="G661" s="217"/>
      <c r="H661" s="218"/>
      <c r="I661" s="218" t="s">
        <v>1517</v>
      </c>
      <c r="J661" s="218"/>
    </row>
    <row r="662" spans="1:10" ht="15.75" customHeight="1" x14ac:dyDescent="0.45">
      <c r="A662" s="226"/>
      <c r="B662" s="226"/>
      <c r="C662" s="216"/>
      <c r="D662" s="216"/>
      <c r="E662" s="216"/>
      <c r="F662" s="216"/>
      <c r="G662" s="217"/>
      <c r="H662" s="218"/>
      <c r="I662" s="218" t="s">
        <v>1517</v>
      </c>
      <c r="J662" s="218"/>
    </row>
    <row r="663" spans="1:10" ht="15.75" customHeight="1" x14ac:dyDescent="0.45">
      <c r="A663" s="226"/>
      <c r="B663" s="226"/>
      <c r="C663" s="216"/>
      <c r="D663" s="216"/>
      <c r="E663" s="216"/>
      <c r="F663" s="216"/>
      <c r="G663" s="217"/>
      <c r="H663" s="218"/>
      <c r="I663" s="218" t="s">
        <v>1517</v>
      </c>
      <c r="J663" s="218"/>
    </row>
    <row r="664" spans="1:10" ht="15.75" customHeight="1" x14ac:dyDescent="0.45">
      <c r="A664" s="226"/>
      <c r="B664" s="226"/>
      <c r="C664" s="216"/>
      <c r="D664" s="216"/>
      <c r="E664" s="216"/>
      <c r="F664" s="216"/>
      <c r="G664" s="217"/>
      <c r="H664" s="218"/>
      <c r="I664" s="218" t="s">
        <v>1517</v>
      </c>
      <c r="J664" s="218"/>
    </row>
    <row r="665" spans="1:10" ht="15.75" customHeight="1" x14ac:dyDescent="0.45">
      <c r="A665" s="226"/>
      <c r="B665" s="226"/>
      <c r="C665" s="216"/>
      <c r="D665" s="216"/>
      <c r="E665" s="216"/>
      <c r="F665" s="216"/>
      <c r="G665" s="217"/>
      <c r="H665" s="218"/>
      <c r="I665" s="218" t="s">
        <v>1517</v>
      </c>
      <c r="J665" s="218"/>
    </row>
    <row r="666" spans="1:10" ht="15.75" customHeight="1" x14ac:dyDescent="0.45">
      <c r="A666" s="226"/>
      <c r="B666" s="226"/>
      <c r="C666" s="216"/>
      <c r="D666" s="216"/>
      <c r="E666" s="216"/>
      <c r="F666" s="216"/>
      <c r="G666" s="217"/>
      <c r="H666" s="218"/>
      <c r="I666" s="218" t="s">
        <v>1517</v>
      </c>
      <c r="J666" s="218"/>
    </row>
    <row r="667" spans="1:10" ht="15.75" customHeight="1" x14ac:dyDescent="0.45">
      <c r="A667" s="226"/>
      <c r="B667" s="226"/>
      <c r="C667" s="216"/>
      <c r="D667" s="216"/>
      <c r="E667" s="216"/>
      <c r="F667" s="216"/>
      <c r="G667" s="217"/>
      <c r="H667" s="218"/>
      <c r="I667" s="218" t="s">
        <v>1517</v>
      </c>
      <c r="J667" s="218"/>
    </row>
    <row r="668" spans="1:10" ht="15.75" customHeight="1" x14ac:dyDescent="0.45">
      <c r="A668" s="226"/>
      <c r="B668" s="226"/>
      <c r="C668" s="216"/>
      <c r="D668" s="216"/>
      <c r="E668" s="216"/>
      <c r="F668" s="216"/>
      <c r="G668" s="217"/>
      <c r="H668" s="218"/>
      <c r="I668" s="218" t="s">
        <v>1517</v>
      </c>
      <c r="J668" s="218"/>
    </row>
    <row r="669" spans="1:10" ht="15.75" customHeight="1" x14ac:dyDescent="0.45">
      <c r="A669" s="226"/>
      <c r="B669" s="226"/>
      <c r="C669" s="216"/>
      <c r="D669" s="216"/>
      <c r="E669" s="216"/>
      <c r="F669" s="216"/>
      <c r="G669" s="217"/>
      <c r="H669" s="218"/>
      <c r="I669" s="218" t="s">
        <v>1517</v>
      </c>
      <c r="J669" s="218"/>
    </row>
    <row r="670" spans="1:10" ht="15.75" customHeight="1" x14ac:dyDescent="0.45">
      <c r="A670" s="226"/>
      <c r="B670" s="226"/>
      <c r="C670" s="216"/>
      <c r="D670" s="216"/>
      <c r="E670" s="216"/>
      <c r="F670" s="216"/>
      <c r="G670" s="217"/>
      <c r="H670" s="218"/>
      <c r="I670" s="218" t="s">
        <v>1517</v>
      </c>
      <c r="J670" s="218"/>
    </row>
    <row r="671" spans="1:10" ht="15.75" customHeight="1" x14ac:dyDescent="0.45">
      <c r="A671" s="226"/>
      <c r="B671" s="226"/>
      <c r="C671" s="216"/>
      <c r="D671" s="216"/>
      <c r="E671" s="216"/>
      <c r="F671" s="216"/>
      <c r="G671" s="217"/>
      <c r="H671" s="218"/>
      <c r="I671" s="218" t="s">
        <v>1517</v>
      </c>
      <c r="J671" s="218"/>
    </row>
    <row r="672" spans="1:10" ht="15.75" customHeight="1" x14ac:dyDescent="0.45">
      <c r="A672" s="226"/>
      <c r="B672" s="226"/>
      <c r="C672" s="216"/>
      <c r="D672" s="216"/>
      <c r="E672" s="216"/>
      <c r="F672" s="216"/>
      <c r="G672" s="217"/>
      <c r="H672" s="218"/>
      <c r="I672" s="218" t="s">
        <v>1517</v>
      </c>
      <c r="J672" s="218"/>
    </row>
    <row r="673" spans="1:10" ht="15.75" customHeight="1" x14ac:dyDescent="0.45">
      <c r="A673" s="226"/>
      <c r="B673" s="226"/>
      <c r="C673" s="216"/>
      <c r="D673" s="216"/>
      <c r="E673" s="216"/>
      <c r="F673" s="216"/>
      <c r="G673" s="217"/>
      <c r="H673" s="218"/>
      <c r="I673" s="218" t="s">
        <v>1517</v>
      </c>
      <c r="J673" s="218"/>
    </row>
    <row r="674" spans="1:10" ht="15.75" customHeight="1" x14ac:dyDescent="0.45">
      <c r="A674" s="226"/>
      <c r="B674" s="226"/>
      <c r="C674" s="216"/>
      <c r="D674" s="216"/>
      <c r="E674" s="216"/>
      <c r="F674" s="216"/>
      <c r="G674" s="217"/>
      <c r="H674" s="218"/>
      <c r="I674" s="218" t="s">
        <v>1517</v>
      </c>
      <c r="J674" s="218"/>
    </row>
    <row r="675" spans="1:10" ht="15.75" customHeight="1" x14ac:dyDescent="0.45">
      <c r="A675" s="226"/>
      <c r="B675" s="226"/>
      <c r="C675" s="216"/>
      <c r="D675" s="216"/>
      <c r="E675" s="216"/>
      <c r="F675" s="216"/>
      <c r="G675" s="217"/>
      <c r="H675" s="218"/>
      <c r="I675" s="218" t="s">
        <v>1517</v>
      </c>
      <c r="J675" s="218"/>
    </row>
    <row r="676" spans="1:10" ht="15.75" customHeight="1" x14ac:dyDescent="0.45">
      <c r="A676" s="226"/>
      <c r="B676" s="226"/>
      <c r="C676" s="216"/>
      <c r="D676" s="216"/>
      <c r="E676" s="216"/>
      <c r="F676" s="216"/>
      <c r="G676" s="217"/>
      <c r="H676" s="218"/>
      <c r="I676" s="218" t="s">
        <v>1517</v>
      </c>
      <c r="J676" s="218"/>
    </row>
    <row r="677" spans="1:10" ht="15.75" customHeight="1" x14ac:dyDescent="0.45">
      <c r="A677" s="226"/>
      <c r="B677" s="226"/>
      <c r="C677" s="216"/>
      <c r="D677" s="216"/>
      <c r="E677" s="216"/>
      <c r="F677" s="216"/>
      <c r="G677" s="217"/>
      <c r="H677" s="218"/>
      <c r="I677" s="218" t="s">
        <v>1517</v>
      </c>
      <c r="J677" s="218"/>
    </row>
    <row r="678" spans="1:10" ht="15.75" customHeight="1" x14ac:dyDescent="0.45">
      <c r="A678" s="226"/>
      <c r="B678" s="226"/>
      <c r="C678" s="216"/>
      <c r="D678" s="216"/>
      <c r="E678" s="216"/>
      <c r="F678" s="216"/>
      <c r="G678" s="217"/>
      <c r="H678" s="218"/>
      <c r="I678" s="218" t="s">
        <v>1517</v>
      </c>
      <c r="J678" s="218"/>
    </row>
    <row r="679" spans="1:10" ht="15.75" customHeight="1" x14ac:dyDescent="0.45">
      <c r="A679" s="226"/>
      <c r="B679" s="226"/>
      <c r="C679" s="216"/>
      <c r="D679" s="216"/>
      <c r="E679" s="216"/>
      <c r="F679" s="216"/>
      <c r="G679" s="217"/>
      <c r="H679" s="218"/>
      <c r="I679" s="218" t="s">
        <v>1517</v>
      </c>
      <c r="J679" s="218"/>
    </row>
    <row r="680" spans="1:10" ht="15.75" customHeight="1" x14ac:dyDescent="0.45">
      <c r="A680" s="226"/>
      <c r="B680" s="226"/>
      <c r="C680" s="216"/>
      <c r="D680" s="216"/>
      <c r="E680" s="216"/>
      <c r="F680" s="216"/>
      <c r="G680" s="217"/>
      <c r="H680" s="218"/>
      <c r="I680" s="218" t="s">
        <v>1517</v>
      </c>
      <c r="J680" s="218"/>
    </row>
    <row r="681" spans="1:10" ht="15.75" customHeight="1" x14ac:dyDescent="0.45">
      <c r="A681" s="226"/>
      <c r="B681" s="226"/>
      <c r="C681" s="216"/>
      <c r="D681" s="216"/>
      <c r="E681" s="216"/>
      <c r="F681" s="216"/>
      <c r="G681" s="217"/>
      <c r="H681" s="218"/>
      <c r="I681" s="218" t="s">
        <v>1517</v>
      </c>
      <c r="J681" s="218"/>
    </row>
    <row r="682" spans="1:10" ht="15.75" customHeight="1" x14ac:dyDescent="0.45">
      <c r="A682" s="226"/>
      <c r="B682" s="226"/>
      <c r="C682" s="216"/>
      <c r="D682" s="216"/>
      <c r="E682" s="216"/>
      <c r="F682" s="216"/>
      <c r="G682" s="217"/>
      <c r="H682" s="218"/>
      <c r="I682" s="218" t="s">
        <v>1517</v>
      </c>
      <c r="J682" s="218"/>
    </row>
    <row r="683" spans="1:10" ht="15.75" customHeight="1" x14ac:dyDescent="0.45">
      <c r="A683" s="226"/>
      <c r="B683" s="226"/>
      <c r="C683" s="216"/>
      <c r="D683" s="216"/>
      <c r="E683" s="216"/>
      <c r="F683" s="216"/>
      <c r="G683" s="217"/>
      <c r="H683" s="218"/>
      <c r="I683" s="218" t="s">
        <v>1517</v>
      </c>
      <c r="J683" s="218"/>
    </row>
    <row r="684" spans="1:10" ht="15.75" customHeight="1" x14ac:dyDescent="0.45">
      <c r="A684" s="226"/>
      <c r="B684" s="226"/>
      <c r="C684" s="216"/>
      <c r="D684" s="216"/>
      <c r="E684" s="216"/>
      <c r="F684" s="216"/>
      <c r="G684" s="217"/>
      <c r="H684" s="218"/>
      <c r="I684" s="218" t="s">
        <v>1517</v>
      </c>
      <c r="J684" s="218"/>
    </row>
    <row r="685" spans="1:10" ht="15.75" customHeight="1" x14ac:dyDescent="0.45">
      <c r="A685" s="226"/>
      <c r="B685" s="226"/>
      <c r="C685" s="216"/>
      <c r="D685" s="216"/>
      <c r="E685" s="216"/>
      <c r="F685" s="216"/>
      <c r="G685" s="217"/>
      <c r="H685" s="218"/>
      <c r="I685" s="218" t="s">
        <v>1517</v>
      </c>
      <c r="J685" s="218"/>
    </row>
    <row r="686" spans="1:10" ht="15.75" customHeight="1" x14ac:dyDescent="0.45">
      <c r="A686" s="226"/>
      <c r="B686" s="226"/>
      <c r="C686" s="216"/>
      <c r="D686" s="216"/>
      <c r="E686" s="216"/>
      <c r="F686" s="216"/>
      <c r="G686" s="217"/>
      <c r="H686" s="218"/>
      <c r="I686" s="218" t="s">
        <v>1517</v>
      </c>
      <c r="J686" s="218"/>
    </row>
    <row r="687" spans="1:10" ht="15.75" customHeight="1" x14ac:dyDescent="0.45">
      <c r="A687" s="226"/>
      <c r="B687" s="226"/>
      <c r="C687" s="216"/>
      <c r="D687" s="216"/>
      <c r="E687" s="216"/>
      <c r="F687" s="216"/>
      <c r="G687" s="217"/>
      <c r="H687" s="218"/>
      <c r="I687" s="218" t="s">
        <v>1517</v>
      </c>
      <c r="J687" s="218"/>
    </row>
    <row r="688" spans="1:10" ht="15.75" customHeight="1" x14ac:dyDescent="0.45">
      <c r="A688" s="226"/>
      <c r="B688" s="226"/>
      <c r="C688" s="216"/>
      <c r="D688" s="216"/>
      <c r="E688" s="216"/>
      <c r="F688" s="216"/>
      <c r="G688" s="217"/>
      <c r="H688" s="218"/>
      <c r="I688" s="218" t="s">
        <v>1517</v>
      </c>
      <c r="J688" s="218"/>
    </row>
    <row r="689" spans="1:10" ht="15.75" customHeight="1" x14ac:dyDescent="0.45">
      <c r="A689" s="226"/>
      <c r="B689" s="226"/>
      <c r="C689" s="216"/>
      <c r="D689" s="216"/>
      <c r="E689" s="216"/>
      <c r="F689" s="216"/>
      <c r="G689" s="217"/>
      <c r="H689" s="218"/>
      <c r="I689" s="218" t="s">
        <v>1517</v>
      </c>
      <c r="J689" s="218"/>
    </row>
    <row r="690" spans="1:10" ht="15.75" customHeight="1" x14ac:dyDescent="0.45">
      <c r="A690" s="226"/>
      <c r="B690" s="226"/>
      <c r="C690" s="216"/>
      <c r="D690" s="216"/>
      <c r="E690" s="216"/>
      <c r="F690" s="216"/>
      <c r="G690" s="217"/>
      <c r="H690" s="218"/>
      <c r="I690" s="218" t="s">
        <v>1517</v>
      </c>
      <c r="J690" s="218"/>
    </row>
    <row r="691" spans="1:10" ht="15.75" customHeight="1" x14ac:dyDescent="0.45">
      <c r="A691" s="226"/>
      <c r="B691" s="226"/>
      <c r="C691" s="216"/>
      <c r="D691" s="216"/>
      <c r="E691" s="216"/>
      <c r="F691" s="216"/>
      <c r="G691" s="217"/>
      <c r="H691" s="218"/>
      <c r="I691" s="218" t="s">
        <v>1517</v>
      </c>
      <c r="J691" s="218"/>
    </row>
    <row r="692" spans="1:10" ht="15.75" customHeight="1" x14ac:dyDescent="0.45">
      <c r="A692" s="226"/>
      <c r="B692" s="226"/>
      <c r="C692" s="216"/>
      <c r="D692" s="216"/>
      <c r="E692" s="216"/>
      <c r="F692" s="216"/>
      <c r="G692" s="217"/>
      <c r="H692" s="218"/>
      <c r="I692" s="218" t="s">
        <v>1517</v>
      </c>
      <c r="J692" s="218"/>
    </row>
    <row r="693" spans="1:10" ht="15.75" customHeight="1" x14ac:dyDescent="0.45">
      <c r="A693" s="226"/>
      <c r="B693" s="226"/>
      <c r="C693" s="216"/>
      <c r="D693" s="216"/>
      <c r="E693" s="216"/>
      <c r="F693" s="216"/>
      <c r="G693" s="217"/>
      <c r="H693" s="218"/>
      <c r="I693" s="218" t="s">
        <v>1517</v>
      </c>
      <c r="J693" s="218"/>
    </row>
    <row r="694" spans="1:10" ht="15.75" customHeight="1" x14ac:dyDescent="0.45">
      <c r="A694" s="226"/>
      <c r="B694" s="226"/>
      <c r="C694" s="216"/>
      <c r="D694" s="216"/>
      <c r="E694" s="216"/>
      <c r="F694" s="216"/>
      <c r="G694" s="217"/>
      <c r="H694" s="218"/>
      <c r="I694" s="218" t="s">
        <v>1517</v>
      </c>
      <c r="J694" s="218"/>
    </row>
    <row r="695" spans="1:10" ht="15.75" customHeight="1" x14ac:dyDescent="0.45">
      <c r="A695" s="226"/>
      <c r="B695" s="226"/>
      <c r="C695" s="216"/>
      <c r="D695" s="216"/>
      <c r="E695" s="216"/>
      <c r="F695" s="216"/>
      <c r="G695" s="217"/>
      <c r="H695" s="218"/>
      <c r="I695" s="218" t="s">
        <v>1517</v>
      </c>
      <c r="J695" s="218"/>
    </row>
    <row r="696" spans="1:10" ht="15.75" customHeight="1" x14ac:dyDescent="0.45">
      <c r="A696" s="226"/>
      <c r="B696" s="226"/>
      <c r="C696" s="216"/>
      <c r="D696" s="216"/>
      <c r="E696" s="216"/>
      <c r="F696" s="216"/>
      <c r="G696" s="217"/>
      <c r="H696" s="218"/>
      <c r="I696" s="218" t="s">
        <v>1517</v>
      </c>
      <c r="J696" s="218"/>
    </row>
    <row r="697" spans="1:10" ht="15.75" customHeight="1" x14ac:dyDescent="0.45">
      <c r="A697" s="226"/>
      <c r="B697" s="226"/>
      <c r="C697" s="216"/>
      <c r="D697" s="216"/>
      <c r="E697" s="216"/>
      <c r="F697" s="216"/>
      <c r="G697" s="217"/>
      <c r="H697" s="218"/>
      <c r="I697" s="218" t="s">
        <v>1517</v>
      </c>
      <c r="J697" s="218"/>
    </row>
    <row r="698" spans="1:10" ht="15.75" customHeight="1" x14ac:dyDescent="0.45">
      <c r="A698" s="226"/>
      <c r="B698" s="226"/>
      <c r="C698" s="216"/>
      <c r="D698" s="216"/>
      <c r="E698" s="216"/>
      <c r="F698" s="216"/>
      <c r="G698" s="217"/>
      <c r="H698" s="218"/>
      <c r="I698" s="218" t="s">
        <v>1517</v>
      </c>
      <c r="J698" s="218"/>
    </row>
    <row r="699" spans="1:10" ht="15.75" customHeight="1" x14ac:dyDescent="0.45">
      <c r="A699" s="226"/>
      <c r="B699" s="226"/>
      <c r="C699" s="216"/>
      <c r="D699" s="216"/>
      <c r="E699" s="216"/>
      <c r="F699" s="216"/>
      <c r="G699" s="217"/>
      <c r="H699" s="218"/>
      <c r="I699" s="218" t="s">
        <v>1517</v>
      </c>
      <c r="J699" s="218"/>
    </row>
    <row r="700" spans="1:10" ht="15.75" customHeight="1" x14ac:dyDescent="0.45">
      <c r="A700" s="226"/>
      <c r="B700" s="226"/>
      <c r="C700" s="216"/>
      <c r="D700" s="216"/>
      <c r="E700" s="216"/>
      <c r="F700" s="216"/>
      <c r="G700" s="217"/>
      <c r="H700" s="218"/>
      <c r="I700" s="218" t="s">
        <v>1517</v>
      </c>
      <c r="J700" s="218"/>
    </row>
    <row r="701" spans="1:10" ht="15.75" customHeight="1" x14ac:dyDescent="0.45">
      <c r="A701" s="226"/>
      <c r="B701" s="226"/>
      <c r="C701" s="216"/>
      <c r="D701" s="216"/>
      <c r="E701" s="216"/>
      <c r="F701" s="216"/>
      <c r="G701" s="217"/>
      <c r="H701" s="218"/>
      <c r="I701" s="218" t="s">
        <v>1517</v>
      </c>
      <c r="J701" s="218"/>
    </row>
    <row r="702" spans="1:10" ht="15.75" customHeight="1" x14ac:dyDescent="0.45">
      <c r="A702" s="226"/>
      <c r="B702" s="226"/>
      <c r="C702" s="216"/>
      <c r="D702" s="216"/>
      <c r="E702" s="216"/>
      <c r="F702" s="216"/>
      <c r="G702" s="217"/>
      <c r="H702" s="218"/>
      <c r="I702" s="218" t="s">
        <v>1517</v>
      </c>
      <c r="J702" s="218"/>
    </row>
    <row r="703" spans="1:10" ht="15.75" customHeight="1" x14ac:dyDescent="0.45">
      <c r="A703" s="226"/>
      <c r="B703" s="226"/>
      <c r="C703" s="216"/>
      <c r="D703" s="216"/>
      <c r="E703" s="216"/>
      <c r="F703" s="216"/>
      <c r="G703" s="217"/>
      <c r="H703" s="218"/>
      <c r="I703" s="218" t="s">
        <v>1517</v>
      </c>
      <c r="J703" s="218"/>
    </row>
    <row r="704" spans="1:10" ht="15.75" customHeight="1" x14ac:dyDescent="0.45">
      <c r="A704" s="226"/>
      <c r="B704" s="226"/>
      <c r="C704" s="216"/>
      <c r="D704" s="216"/>
      <c r="E704" s="216"/>
      <c r="F704" s="216"/>
      <c r="G704" s="217"/>
      <c r="H704" s="218"/>
      <c r="I704" s="218" t="s">
        <v>1517</v>
      </c>
      <c r="J704" s="218"/>
    </row>
    <row r="705" spans="1:10" ht="15.75" customHeight="1" x14ac:dyDescent="0.45">
      <c r="A705" s="226"/>
      <c r="B705" s="226"/>
      <c r="C705" s="216"/>
      <c r="D705" s="216"/>
      <c r="E705" s="216"/>
      <c r="F705" s="216"/>
      <c r="G705" s="217"/>
      <c r="H705" s="218"/>
      <c r="I705" s="218" t="s">
        <v>1517</v>
      </c>
      <c r="J705" s="218"/>
    </row>
    <row r="706" spans="1:10" ht="15.75" customHeight="1" x14ac:dyDescent="0.45">
      <c r="A706" s="226"/>
      <c r="B706" s="226"/>
      <c r="C706" s="216"/>
      <c r="D706" s="216"/>
      <c r="E706" s="216"/>
      <c r="F706" s="216"/>
      <c r="G706" s="217"/>
      <c r="H706" s="218"/>
      <c r="I706" s="218" t="s">
        <v>1517</v>
      </c>
      <c r="J706" s="218"/>
    </row>
    <row r="707" spans="1:10" ht="15.75" customHeight="1" x14ac:dyDescent="0.45">
      <c r="A707" s="226"/>
      <c r="B707" s="226"/>
      <c r="C707" s="216"/>
      <c r="D707" s="216"/>
      <c r="E707" s="216"/>
      <c r="F707" s="216"/>
      <c r="G707" s="217"/>
      <c r="H707" s="218"/>
      <c r="I707" s="218" t="s">
        <v>1517</v>
      </c>
      <c r="J707" s="218"/>
    </row>
    <row r="708" spans="1:10" ht="15.75" customHeight="1" x14ac:dyDescent="0.45">
      <c r="A708" s="226"/>
      <c r="B708" s="226"/>
      <c r="C708" s="216"/>
      <c r="D708" s="216"/>
      <c r="E708" s="216"/>
      <c r="F708" s="216"/>
      <c r="G708" s="217"/>
      <c r="H708" s="218"/>
      <c r="I708" s="218" t="s">
        <v>1517</v>
      </c>
      <c r="J708" s="218"/>
    </row>
    <row r="709" spans="1:10" ht="15.75" customHeight="1" x14ac:dyDescent="0.45">
      <c r="A709" s="226"/>
      <c r="B709" s="226"/>
      <c r="C709" s="216"/>
      <c r="D709" s="216"/>
      <c r="E709" s="216"/>
      <c r="F709" s="216"/>
      <c r="G709" s="217"/>
      <c r="H709" s="218"/>
      <c r="I709" s="218" t="s">
        <v>1517</v>
      </c>
      <c r="J709" s="218"/>
    </row>
    <row r="710" spans="1:10" ht="15.75" customHeight="1" x14ac:dyDescent="0.45">
      <c r="A710" s="226"/>
      <c r="B710" s="226"/>
      <c r="C710" s="216"/>
      <c r="D710" s="216"/>
      <c r="E710" s="216"/>
      <c r="F710" s="216"/>
      <c r="G710" s="217"/>
      <c r="H710" s="218"/>
      <c r="I710" s="218" t="s">
        <v>1517</v>
      </c>
      <c r="J710" s="218"/>
    </row>
    <row r="711" spans="1:10" ht="15.75" customHeight="1" x14ac:dyDescent="0.45">
      <c r="A711" s="226"/>
      <c r="B711" s="226"/>
      <c r="C711" s="216"/>
      <c r="D711" s="216"/>
      <c r="E711" s="216"/>
      <c r="F711" s="216"/>
      <c r="G711" s="217"/>
      <c r="H711" s="218"/>
      <c r="I711" s="218" t="s">
        <v>1517</v>
      </c>
      <c r="J711" s="218"/>
    </row>
    <row r="712" spans="1:10" ht="15.75" customHeight="1" x14ac:dyDescent="0.45">
      <c r="A712" s="226"/>
      <c r="B712" s="226"/>
      <c r="C712" s="216"/>
      <c r="D712" s="216"/>
      <c r="E712" s="216"/>
      <c r="F712" s="216"/>
      <c r="G712" s="217"/>
      <c r="H712" s="218"/>
      <c r="I712" s="218" t="s">
        <v>1517</v>
      </c>
      <c r="J712" s="218"/>
    </row>
    <row r="713" spans="1:10" ht="15.75" customHeight="1" x14ac:dyDescent="0.45">
      <c r="A713" s="226"/>
      <c r="B713" s="226"/>
      <c r="C713" s="216"/>
      <c r="D713" s="216"/>
      <c r="E713" s="216"/>
      <c r="F713" s="216"/>
      <c r="G713" s="217"/>
      <c r="H713" s="218"/>
      <c r="I713" s="218" t="s">
        <v>1517</v>
      </c>
      <c r="J713" s="218"/>
    </row>
    <row r="714" spans="1:10" ht="15.75" customHeight="1" x14ac:dyDescent="0.45">
      <c r="A714" s="226"/>
      <c r="B714" s="226"/>
      <c r="C714" s="216"/>
      <c r="D714" s="216"/>
      <c r="E714" s="216"/>
      <c r="F714" s="216"/>
      <c r="G714" s="217"/>
      <c r="H714" s="218"/>
      <c r="I714" s="218" t="s">
        <v>1517</v>
      </c>
      <c r="J714" s="218"/>
    </row>
    <row r="715" spans="1:10" ht="15.75" customHeight="1" x14ac:dyDescent="0.45">
      <c r="A715" s="226"/>
      <c r="B715" s="226"/>
      <c r="C715" s="216"/>
      <c r="D715" s="216"/>
      <c r="E715" s="216"/>
      <c r="F715" s="216"/>
      <c r="G715" s="217"/>
      <c r="H715" s="218"/>
      <c r="I715" s="218" t="s">
        <v>1517</v>
      </c>
      <c r="J715" s="218"/>
    </row>
    <row r="716" spans="1:10" ht="15.75" customHeight="1" x14ac:dyDescent="0.45">
      <c r="A716" s="226"/>
      <c r="B716" s="226"/>
      <c r="C716" s="216"/>
      <c r="D716" s="216"/>
      <c r="E716" s="216"/>
      <c r="F716" s="216"/>
      <c r="G716" s="217"/>
      <c r="H716" s="218"/>
      <c r="I716" s="218" t="s">
        <v>1517</v>
      </c>
      <c r="J716" s="218"/>
    </row>
    <row r="717" spans="1:10" ht="15.75" customHeight="1" x14ac:dyDescent="0.45">
      <c r="A717" s="226"/>
      <c r="B717" s="226"/>
      <c r="C717" s="216"/>
      <c r="D717" s="216"/>
      <c r="E717" s="216"/>
      <c r="F717" s="216"/>
      <c r="G717" s="217"/>
      <c r="H717" s="218"/>
      <c r="I717" s="218" t="s">
        <v>1517</v>
      </c>
      <c r="J717" s="218"/>
    </row>
    <row r="718" spans="1:10" ht="15.75" customHeight="1" x14ac:dyDescent="0.45">
      <c r="A718" s="226"/>
      <c r="B718" s="226"/>
      <c r="C718" s="216"/>
      <c r="D718" s="216"/>
      <c r="E718" s="216"/>
      <c r="F718" s="216"/>
      <c r="G718" s="217"/>
      <c r="H718" s="218"/>
      <c r="I718" s="218" t="s">
        <v>1517</v>
      </c>
      <c r="J718" s="218"/>
    </row>
    <row r="719" spans="1:10" ht="15.75" customHeight="1" x14ac:dyDescent="0.45">
      <c r="A719" s="226"/>
      <c r="B719" s="226"/>
      <c r="C719" s="216"/>
      <c r="D719" s="216"/>
      <c r="E719" s="216"/>
      <c r="F719" s="216"/>
      <c r="G719" s="217"/>
      <c r="H719" s="218"/>
      <c r="I719" s="218" t="s">
        <v>1517</v>
      </c>
      <c r="J719" s="218"/>
    </row>
    <row r="720" spans="1:10" ht="15.75" customHeight="1" x14ac:dyDescent="0.45">
      <c r="A720" s="226"/>
      <c r="B720" s="226"/>
      <c r="C720" s="216"/>
      <c r="D720" s="216"/>
      <c r="E720" s="216"/>
      <c r="F720" s="216"/>
      <c r="G720" s="217"/>
      <c r="H720" s="218"/>
      <c r="I720" s="218" t="s">
        <v>1517</v>
      </c>
      <c r="J720" s="218"/>
    </row>
    <row r="721" spans="1:10" ht="15.75" customHeight="1" x14ac:dyDescent="0.45">
      <c r="A721" s="226"/>
      <c r="B721" s="226"/>
      <c r="C721" s="216"/>
      <c r="D721" s="216"/>
      <c r="E721" s="216"/>
      <c r="F721" s="216"/>
      <c r="G721" s="217"/>
      <c r="H721" s="218"/>
      <c r="I721" s="218" t="s">
        <v>1517</v>
      </c>
      <c r="J721" s="218"/>
    </row>
    <row r="722" spans="1:10" ht="15.75" customHeight="1" x14ac:dyDescent="0.45">
      <c r="A722" s="226"/>
      <c r="B722" s="226"/>
      <c r="C722" s="216"/>
      <c r="D722" s="216"/>
      <c r="E722" s="216"/>
      <c r="F722" s="216"/>
      <c r="G722" s="217"/>
      <c r="H722" s="218"/>
      <c r="I722" s="218" t="s">
        <v>1517</v>
      </c>
      <c r="J722" s="218"/>
    </row>
    <row r="723" spans="1:10" ht="15.75" customHeight="1" x14ac:dyDescent="0.45">
      <c r="A723" s="226"/>
      <c r="B723" s="226"/>
      <c r="C723" s="216"/>
      <c r="D723" s="216"/>
      <c r="E723" s="216"/>
      <c r="F723" s="216"/>
      <c r="G723" s="217"/>
      <c r="H723" s="218"/>
      <c r="I723" s="218" t="s">
        <v>1517</v>
      </c>
      <c r="J723" s="218"/>
    </row>
    <row r="724" spans="1:10" ht="15.75" customHeight="1" x14ac:dyDescent="0.45">
      <c r="A724" s="226"/>
      <c r="B724" s="226"/>
      <c r="C724" s="216"/>
      <c r="D724" s="216"/>
      <c r="E724" s="216"/>
      <c r="F724" s="216"/>
      <c r="G724" s="217"/>
      <c r="H724" s="218"/>
      <c r="I724" s="218" t="s">
        <v>1517</v>
      </c>
      <c r="J724" s="218"/>
    </row>
    <row r="725" spans="1:10" ht="15.75" customHeight="1" x14ac:dyDescent="0.45">
      <c r="A725" s="226"/>
      <c r="B725" s="226"/>
      <c r="C725" s="216"/>
      <c r="D725" s="216"/>
      <c r="E725" s="216"/>
      <c r="F725" s="216"/>
      <c r="G725" s="217"/>
      <c r="H725" s="218"/>
      <c r="I725" s="218" t="s">
        <v>1517</v>
      </c>
      <c r="J725" s="218"/>
    </row>
    <row r="726" spans="1:10" ht="15.75" customHeight="1" x14ac:dyDescent="0.45">
      <c r="A726" s="226"/>
      <c r="B726" s="226"/>
      <c r="C726" s="216"/>
      <c r="D726" s="216"/>
      <c r="E726" s="216"/>
      <c r="F726" s="216"/>
      <c r="G726" s="217"/>
      <c r="H726" s="218"/>
      <c r="I726" s="218" t="s">
        <v>1517</v>
      </c>
      <c r="J726" s="218"/>
    </row>
    <row r="727" spans="1:10" ht="15.75" customHeight="1" x14ac:dyDescent="0.45">
      <c r="A727" s="226"/>
      <c r="B727" s="226"/>
      <c r="C727" s="216"/>
      <c r="D727" s="216"/>
      <c r="E727" s="216"/>
      <c r="F727" s="216"/>
      <c r="G727" s="217"/>
      <c r="H727" s="218"/>
      <c r="I727" s="218" t="s">
        <v>1517</v>
      </c>
      <c r="J727" s="218"/>
    </row>
    <row r="728" spans="1:10" ht="15.75" customHeight="1" x14ac:dyDescent="0.45">
      <c r="A728" s="226"/>
      <c r="B728" s="226"/>
      <c r="C728" s="216"/>
      <c r="D728" s="216"/>
      <c r="E728" s="216"/>
      <c r="F728" s="216"/>
      <c r="G728" s="217"/>
      <c r="H728" s="218"/>
      <c r="I728" s="218" t="s">
        <v>1517</v>
      </c>
      <c r="J728" s="218"/>
    </row>
    <row r="729" spans="1:10" ht="15.75" customHeight="1" x14ac:dyDescent="0.45">
      <c r="A729" s="226"/>
      <c r="B729" s="226"/>
      <c r="C729" s="216"/>
      <c r="D729" s="216"/>
      <c r="E729" s="216"/>
      <c r="F729" s="216"/>
      <c r="G729" s="217"/>
      <c r="H729" s="218"/>
      <c r="I729" s="218" t="s">
        <v>1517</v>
      </c>
      <c r="J729" s="218"/>
    </row>
    <row r="730" spans="1:10" ht="15.75" customHeight="1" x14ac:dyDescent="0.45">
      <c r="A730" s="226"/>
      <c r="B730" s="226"/>
      <c r="C730" s="216"/>
      <c r="D730" s="216"/>
      <c r="E730" s="216"/>
      <c r="F730" s="216"/>
      <c r="G730" s="217"/>
      <c r="H730" s="218"/>
      <c r="I730" s="218" t="s">
        <v>1517</v>
      </c>
      <c r="J730" s="218"/>
    </row>
    <row r="731" spans="1:10" ht="15.75" customHeight="1" x14ac:dyDescent="0.45">
      <c r="A731" s="226"/>
      <c r="B731" s="226"/>
      <c r="C731" s="216"/>
      <c r="D731" s="216"/>
      <c r="E731" s="216"/>
      <c r="F731" s="216"/>
      <c r="G731" s="217"/>
      <c r="H731" s="218"/>
      <c r="I731" s="218" t="s">
        <v>1517</v>
      </c>
      <c r="J731" s="218"/>
    </row>
    <row r="732" spans="1:10" ht="15.75" customHeight="1" x14ac:dyDescent="0.45">
      <c r="A732" s="226"/>
      <c r="B732" s="226"/>
      <c r="C732" s="216"/>
      <c r="D732" s="216"/>
      <c r="E732" s="216"/>
      <c r="F732" s="216"/>
      <c r="G732" s="217"/>
      <c r="H732" s="218"/>
      <c r="I732" s="218" t="s">
        <v>1517</v>
      </c>
      <c r="J732" s="218"/>
    </row>
    <row r="733" spans="1:10" ht="15.75" customHeight="1" x14ac:dyDescent="0.45">
      <c r="A733" s="226"/>
      <c r="B733" s="226"/>
      <c r="C733" s="216"/>
      <c r="D733" s="216"/>
      <c r="E733" s="216"/>
      <c r="F733" s="216"/>
      <c r="G733" s="217"/>
      <c r="H733" s="218"/>
      <c r="I733" s="218" t="s">
        <v>1517</v>
      </c>
      <c r="J733" s="218"/>
    </row>
    <row r="734" spans="1:10" ht="15.75" customHeight="1" x14ac:dyDescent="0.45">
      <c r="A734" s="226"/>
      <c r="B734" s="226"/>
      <c r="C734" s="216"/>
      <c r="D734" s="216"/>
      <c r="E734" s="216"/>
      <c r="F734" s="216"/>
      <c r="G734" s="217"/>
      <c r="H734" s="218"/>
      <c r="I734" s="218" t="s">
        <v>1517</v>
      </c>
      <c r="J734" s="218"/>
    </row>
    <row r="735" spans="1:10" ht="15.75" customHeight="1" x14ac:dyDescent="0.45">
      <c r="A735" s="226"/>
      <c r="B735" s="226"/>
      <c r="C735" s="216"/>
      <c r="D735" s="216"/>
      <c r="E735" s="216"/>
      <c r="F735" s="216"/>
      <c r="G735" s="217"/>
      <c r="H735" s="218"/>
      <c r="I735" s="218" t="s">
        <v>1517</v>
      </c>
      <c r="J735" s="218"/>
    </row>
    <row r="736" spans="1:10" ht="15.75" customHeight="1" x14ac:dyDescent="0.45">
      <c r="A736" s="226"/>
      <c r="B736" s="226"/>
      <c r="C736" s="216"/>
      <c r="D736" s="216"/>
      <c r="E736" s="216"/>
      <c r="F736" s="216"/>
      <c r="G736" s="217"/>
      <c r="H736" s="218"/>
      <c r="I736" s="218" t="s">
        <v>1517</v>
      </c>
      <c r="J736" s="218"/>
    </row>
    <row r="737" spans="1:10" ht="15.75" customHeight="1" x14ac:dyDescent="0.45">
      <c r="A737" s="226"/>
      <c r="B737" s="226"/>
      <c r="C737" s="216"/>
      <c r="D737" s="216"/>
      <c r="E737" s="216"/>
      <c r="F737" s="216"/>
      <c r="G737" s="217"/>
      <c r="H737" s="218"/>
      <c r="I737" s="218" t="s">
        <v>1517</v>
      </c>
      <c r="J737" s="218"/>
    </row>
    <row r="738" spans="1:10" ht="15.75" customHeight="1" x14ac:dyDescent="0.45">
      <c r="A738" s="226"/>
      <c r="B738" s="226"/>
      <c r="C738" s="216"/>
      <c r="D738" s="216"/>
      <c r="E738" s="216"/>
      <c r="F738" s="216"/>
      <c r="G738" s="217"/>
      <c r="H738" s="218"/>
      <c r="I738" s="218" t="s">
        <v>1517</v>
      </c>
      <c r="J738" s="218"/>
    </row>
    <row r="739" spans="1:10" ht="15.75" customHeight="1" x14ac:dyDescent="0.45">
      <c r="A739" s="226"/>
      <c r="B739" s="226"/>
      <c r="C739" s="216"/>
      <c r="D739" s="216"/>
      <c r="E739" s="216"/>
      <c r="F739" s="216"/>
      <c r="G739" s="217"/>
      <c r="H739" s="218"/>
      <c r="I739" s="218" t="s">
        <v>1517</v>
      </c>
      <c r="J739" s="218"/>
    </row>
    <row r="740" spans="1:10" ht="15.75" customHeight="1" x14ac:dyDescent="0.45">
      <c r="A740" s="226"/>
      <c r="B740" s="226"/>
      <c r="C740" s="216"/>
      <c r="D740" s="216"/>
      <c r="E740" s="216"/>
      <c r="F740" s="216"/>
      <c r="G740" s="217"/>
      <c r="H740" s="218"/>
      <c r="I740" s="218" t="s">
        <v>1517</v>
      </c>
      <c r="J740" s="218"/>
    </row>
    <row r="741" spans="1:10" ht="15.75" customHeight="1" x14ac:dyDescent="0.45">
      <c r="A741" s="226"/>
      <c r="B741" s="226"/>
      <c r="C741" s="216"/>
      <c r="D741" s="216"/>
      <c r="E741" s="216"/>
      <c r="F741" s="216"/>
      <c r="G741" s="217"/>
      <c r="H741" s="218"/>
      <c r="I741" s="218" t="s">
        <v>1517</v>
      </c>
      <c r="J741" s="218"/>
    </row>
    <row r="742" spans="1:10" ht="15.75" customHeight="1" x14ac:dyDescent="0.45">
      <c r="A742" s="226"/>
      <c r="B742" s="226"/>
      <c r="C742" s="216"/>
      <c r="D742" s="216"/>
      <c r="E742" s="216"/>
      <c r="F742" s="216"/>
      <c r="G742" s="217"/>
      <c r="H742" s="218"/>
      <c r="I742" s="218" t="s">
        <v>1517</v>
      </c>
      <c r="J742" s="218"/>
    </row>
    <row r="743" spans="1:10" ht="15.75" customHeight="1" x14ac:dyDescent="0.45">
      <c r="A743" s="226"/>
      <c r="B743" s="226"/>
      <c r="C743" s="216"/>
      <c r="D743" s="216"/>
      <c r="E743" s="216"/>
      <c r="F743" s="216"/>
      <c r="G743" s="217"/>
      <c r="H743" s="218"/>
      <c r="I743" s="218" t="s">
        <v>1517</v>
      </c>
      <c r="J743" s="218"/>
    </row>
    <row r="744" spans="1:10" ht="15.75" customHeight="1" x14ac:dyDescent="0.45">
      <c r="A744" s="226"/>
      <c r="B744" s="226"/>
      <c r="C744" s="216"/>
      <c r="D744" s="216"/>
      <c r="E744" s="216"/>
      <c r="F744" s="216"/>
      <c r="G744" s="217"/>
      <c r="H744" s="218"/>
      <c r="I744" s="218" t="s">
        <v>1517</v>
      </c>
      <c r="J744" s="218"/>
    </row>
    <row r="745" spans="1:10" ht="15.75" customHeight="1" x14ac:dyDescent="0.45">
      <c r="A745" s="226"/>
      <c r="B745" s="226"/>
      <c r="C745" s="216"/>
      <c r="D745" s="216"/>
      <c r="E745" s="216"/>
      <c r="F745" s="216"/>
      <c r="G745" s="217"/>
      <c r="H745" s="218"/>
      <c r="I745" s="218" t="s">
        <v>1517</v>
      </c>
      <c r="J745" s="218"/>
    </row>
    <row r="746" spans="1:10" ht="15.75" customHeight="1" x14ac:dyDescent="0.45">
      <c r="A746" s="226"/>
      <c r="B746" s="226"/>
      <c r="C746" s="216"/>
      <c r="D746" s="216"/>
      <c r="E746" s="216"/>
      <c r="F746" s="216"/>
      <c r="G746" s="217"/>
      <c r="H746" s="218"/>
      <c r="I746" s="218" t="s">
        <v>1517</v>
      </c>
      <c r="J746" s="218"/>
    </row>
    <row r="747" spans="1:10" ht="15.75" customHeight="1" x14ac:dyDescent="0.45">
      <c r="A747" s="226"/>
      <c r="B747" s="226"/>
      <c r="C747" s="216"/>
      <c r="D747" s="216"/>
      <c r="E747" s="216"/>
      <c r="F747" s="216"/>
      <c r="G747" s="217"/>
      <c r="H747" s="218"/>
      <c r="I747" s="218" t="s">
        <v>1517</v>
      </c>
      <c r="J747" s="218"/>
    </row>
    <row r="748" spans="1:10" ht="15.75" customHeight="1" x14ac:dyDescent="0.45">
      <c r="A748" s="226"/>
      <c r="B748" s="226"/>
      <c r="C748" s="216"/>
      <c r="D748" s="216"/>
      <c r="E748" s="216"/>
      <c r="F748" s="216"/>
      <c r="G748" s="217"/>
      <c r="H748" s="218"/>
      <c r="I748" s="218" t="s">
        <v>1517</v>
      </c>
      <c r="J748" s="218"/>
    </row>
    <row r="749" spans="1:10" ht="15.75" customHeight="1" x14ac:dyDescent="0.45">
      <c r="A749" s="226"/>
      <c r="B749" s="226"/>
      <c r="C749" s="216"/>
      <c r="D749" s="216"/>
      <c r="E749" s="216"/>
      <c r="F749" s="216"/>
      <c r="G749" s="217"/>
      <c r="H749" s="218"/>
      <c r="I749" s="218" t="s">
        <v>1517</v>
      </c>
      <c r="J749" s="218"/>
    </row>
    <row r="750" spans="1:10" ht="15.75" customHeight="1" x14ac:dyDescent="0.45">
      <c r="A750" s="226"/>
      <c r="B750" s="226"/>
      <c r="C750" s="216"/>
      <c r="D750" s="216"/>
      <c r="E750" s="216"/>
      <c r="F750" s="216"/>
      <c r="G750" s="217"/>
      <c r="H750" s="218"/>
      <c r="I750" s="218" t="s">
        <v>1517</v>
      </c>
      <c r="J750" s="218"/>
    </row>
    <row r="751" spans="1:10" ht="15.75" customHeight="1" x14ac:dyDescent="0.45">
      <c r="A751" s="226"/>
      <c r="B751" s="226"/>
      <c r="C751" s="216"/>
      <c r="D751" s="216"/>
      <c r="E751" s="216"/>
      <c r="F751" s="216"/>
      <c r="G751" s="217"/>
      <c r="H751" s="218"/>
      <c r="I751" s="218" t="s">
        <v>1517</v>
      </c>
      <c r="J751" s="218"/>
    </row>
    <row r="752" spans="1:10" ht="15.75" customHeight="1" x14ac:dyDescent="0.45">
      <c r="A752" s="226"/>
      <c r="B752" s="226"/>
      <c r="C752" s="216"/>
      <c r="D752" s="216"/>
      <c r="E752" s="216"/>
      <c r="F752" s="216"/>
      <c r="G752" s="217"/>
      <c r="H752" s="218"/>
      <c r="I752" s="218" t="s">
        <v>1517</v>
      </c>
      <c r="J752" s="218"/>
    </row>
    <row r="753" spans="1:10" ht="15.75" customHeight="1" x14ac:dyDescent="0.45">
      <c r="A753" s="226"/>
      <c r="B753" s="226"/>
      <c r="C753" s="216"/>
      <c r="D753" s="216"/>
      <c r="E753" s="216"/>
      <c r="F753" s="216"/>
      <c r="G753" s="217"/>
      <c r="H753" s="218"/>
      <c r="I753" s="218" t="s">
        <v>1517</v>
      </c>
      <c r="J753" s="218"/>
    </row>
    <row r="754" spans="1:10" ht="15.75" customHeight="1" x14ac:dyDescent="0.45">
      <c r="A754" s="226"/>
      <c r="B754" s="226"/>
      <c r="C754" s="216"/>
      <c r="D754" s="216"/>
      <c r="E754" s="216"/>
      <c r="F754" s="216"/>
      <c r="G754" s="217"/>
      <c r="H754" s="218"/>
      <c r="I754" s="218" t="s">
        <v>1517</v>
      </c>
      <c r="J754" s="218"/>
    </row>
    <row r="755" spans="1:10" ht="15.75" customHeight="1" x14ac:dyDescent="0.45">
      <c r="A755" s="226"/>
      <c r="B755" s="226"/>
      <c r="C755" s="216"/>
      <c r="D755" s="216"/>
      <c r="E755" s="216"/>
      <c r="F755" s="216"/>
      <c r="G755" s="217"/>
      <c r="H755" s="218"/>
      <c r="I755" s="218" t="s">
        <v>1517</v>
      </c>
      <c r="J755" s="218"/>
    </row>
    <row r="756" spans="1:10" ht="15.75" customHeight="1" x14ac:dyDescent="0.45">
      <c r="A756" s="226"/>
      <c r="B756" s="226"/>
      <c r="C756" s="216"/>
      <c r="D756" s="216"/>
      <c r="E756" s="216"/>
      <c r="F756" s="216"/>
      <c r="G756" s="217"/>
      <c r="H756" s="218"/>
      <c r="I756" s="218" t="s">
        <v>1517</v>
      </c>
      <c r="J756" s="218"/>
    </row>
    <row r="757" spans="1:10" ht="15.75" customHeight="1" x14ac:dyDescent="0.45">
      <c r="A757" s="226"/>
      <c r="B757" s="226"/>
      <c r="C757" s="216"/>
      <c r="D757" s="216"/>
      <c r="E757" s="216"/>
      <c r="F757" s="216"/>
      <c r="G757" s="217"/>
      <c r="H757" s="218"/>
      <c r="I757" s="218" t="s">
        <v>1517</v>
      </c>
      <c r="J757" s="218"/>
    </row>
    <row r="758" spans="1:10" ht="15.75" customHeight="1" x14ac:dyDescent="0.45">
      <c r="A758" s="226"/>
      <c r="B758" s="226"/>
      <c r="C758" s="216"/>
      <c r="D758" s="216"/>
      <c r="E758" s="216"/>
      <c r="F758" s="216"/>
      <c r="G758" s="217"/>
      <c r="H758" s="218"/>
      <c r="I758" s="218" t="s">
        <v>1517</v>
      </c>
      <c r="J758" s="218"/>
    </row>
    <row r="759" spans="1:10" ht="15.75" customHeight="1" x14ac:dyDescent="0.45">
      <c r="A759" s="226"/>
      <c r="B759" s="226"/>
      <c r="C759" s="216"/>
      <c r="D759" s="216"/>
      <c r="E759" s="216"/>
      <c r="F759" s="216"/>
      <c r="G759" s="217"/>
      <c r="H759" s="218"/>
      <c r="I759" s="218" t="s">
        <v>1517</v>
      </c>
      <c r="J759" s="218"/>
    </row>
    <row r="760" spans="1:10" ht="15.75" customHeight="1" x14ac:dyDescent="0.45">
      <c r="A760" s="226"/>
      <c r="B760" s="226"/>
      <c r="C760" s="216"/>
      <c r="D760" s="216"/>
      <c r="E760" s="216"/>
      <c r="F760" s="216"/>
      <c r="G760" s="217"/>
      <c r="H760" s="218"/>
      <c r="I760" s="218" t="s">
        <v>1517</v>
      </c>
      <c r="J760" s="218"/>
    </row>
    <row r="761" spans="1:10" ht="15.75" customHeight="1" x14ac:dyDescent="0.45">
      <c r="A761" s="226"/>
      <c r="B761" s="226"/>
      <c r="C761" s="216"/>
      <c r="D761" s="216"/>
      <c r="E761" s="216"/>
      <c r="F761" s="216"/>
      <c r="G761" s="217"/>
      <c r="H761" s="218"/>
      <c r="I761" s="218" t="s">
        <v>1517</v>
      </c>
      <c r="J761" s="218"/>
    </row>
    <row r="762" spans="1:10" ht="15.75" customHeight="1" x14ac:dyDescent="0.45">
      <c r="A762" s="226"/>
      <c r="B762" s="226"/>
      <c r="C762" s="216"/>
      <c r="D762" s="216"/>
      <c r="E762" s="216"/>
      <c r="F762" s="216"/>
      <c r="G762" s="217"/>
      <c r="H762" s="218"/>
      <c r="I762" s="218" t="s">
        <v>1517</v>
      </c>
      <c r="J762" s="218"/>
    </row>
    <row r="763" spans="1:10" ht="15.75" customHeight="1" x14ac:dyDescent="0.45">
      <c r="A763" s="226"/>
      <c r="B763" s="226"/>
      <c r="C763" s="216"/>
      <c r="D763" s="216"/>
      <c r="E763" s="216"/>
      <c r="F763" s="216"/>
      <c r="G763" s="217"/>
      <c r="H763" s="218"/>
      <c r="I763" s="218" t="s">
        <v>1517</v>
      </c>
      <c r="J763" s="218"/>
    </row>
    <row r="764" spans="1:10" ht="15.75" customHeight="1" x14ac:dyDescent="0.45">
      <c r="A764" s="226"/>
      <c r="B764" s="226"/>
      <c r="C764" s="216"/>
      <c r="D764" s="216"/>
      <c r="E764" s="216"/>
      <c r="F764" s="216"/>
      <c r="G764" s="217"/>
      <c r="H764" s="218"/>
      <c r="I764" s="218" t="s">
        <v>1517</v>
      </c>
      <c r="J764" s="218"/>
    </row>
    <row r="765" spans="1:10" ht="15.75" customHeight="1" x14ac:dyDescent="0.45">
      <c r="A765" s="226"/>
      <c r="B765" s="226"/>
      <c r="C765" s="216"/>
      <c r="D765" s="216"/>
      <c r="E765" s="216"/>
      <c r="F765" s="216"/>
      <c r="G765" s="217"/>
      <c r="H765" s="218"/>
      <c r="I765" s="218" t="s">
        <v>1517</v>
      </c>
      <c r="J765" s="218"/>
    </row>
    <row r="766" spans="1:10" ht="15.75" customHeight="1" x14ac:dyDescent="0.45">
      <c r="A766" s="226"/>
      <c r="B766" s="226"/>
      <c r="C766" s="216"/>
      <c r="D766" s="216"/>
      <c r="E766" s="216"/>
      <c r="F766" s="216"/>
      <c r="G766" s="217"/>
      <c r="H766" s="218"/>
      <c r="I766" s="218" t="s">
        <v>1517</v>
      </c>
      <c r="J766" s="218"/>
    </row>
    <row r="767" spans="1:10" ht="15.75" customHeight="1" x14ac:dyDescent="0.45">
      <c r="A767" s="226"/>
      <c r="B767" s="226"/>
      <c r="C767" s="216"/>
      <c r="D767" s="216"/>
      <c r="E767" s="216"/>
      <c r="F767" s="216"/>
      <c r="G767" s="217"/>
      <c r="H767" s="218"/>
      <c r="I767" s="218" t="s">
        <v>1517</v>
      </c>
      <c r="J767" s="218"/>
    </row>
    <row r="768" spans="1:10" ht="15.75" customHeight="1" x14ac:dyDescent="0.45">
      <c r="A768" s="226"/>
      <c r="B768" s="226"/>
      <c r="C768" s="216"/>
      <c r="D768" s="216"/>
      <c r="E768" s="216"/>
      <c r="F768" s="216"/>
      <c r="G768" s="217"/>
      <c r="H768" s="218"/>
      <c r="I768" s="218" t="s">
        <v>1517</v>
      </c>
      <c r="J768" s="218"/>
    </row>
    <row r="769" spans="1:10" ht="15.75" customHeight="1" x14ac:dyDescent="0.45">
      <c r="A769" s="226"/>
      <c r="B769" s="226"/>
      <c r="C769" s="216"/>
      <c r="D769" s="216"/>
      <c r="E769" s="216"/>
      <c r="F769" s="216"/>
      <c r="G769" s="217"/>
      <c r="H769" s="218"/>
      <c r="I769" s="218" t="s">
        <v>1517</v>
      </c>
      <c r="J769" s="218"/>
    </row>
    <row r="770" spans="1:10" ht="15.75" customHeight="1" x14ac:dyDescent="0.45">
      <c r="A770" s="226"/>
      <c r="B770" s="226"/>
      <c r="C770" s="216"/>
      <c r="D770" s="216"/>
      <c r="E770" s="216"/>
      <c r="F770" s="216"/>
      <c r="G770" s="217"/>
      <c r="H770" s="218"/>
      <c r="I770" s="218" t="s">
        <v>1517</v>
      </c>
      <c r="J770" s="218"/>
    </row>
    <row r="771" spans="1:10" ht="15.75" customHeight="1" x14ac:dyDescent="0.45">
      <c r="A771" s="226"/>
      <c r="B771" s="226"/>
      <c r="C771" s="216"/>
      <c r="D771" s="216"/>
      <c r="E771" s="216"/>
      <c r="F771" s="216"/>
      <c r="G771" s="217"/>
      <c r="H771" s="218"/>
      <c r="I771" s="218" t="s">
        <v>1517</v>
      </c>
      <c r="J771" s="218"/>
    </row>
    <row r="772" spans="1:10" ht="15.75" customHeight="1" x14ac:dyDescent="0.45">
      <c r="A772" s="226"/>
      <c r="B772" s="226"/>
      <c r="C772" s="216"/>
      <c r="D772" s="216"/>
      <c r="E772" s="216"/>
      <c r="F772" s="216"/>
      <c r="G772" s="217"/>
      <c r="H772" s="218"/>
      <c r="I772" s="218" t="s">
        <v>1517</v>
      </c>
      <c r="J772" s="218"/>
    </row>
    <row r="773" spans="1:10" ht="15.75" customHeight="1" x14ac:dyDescent="0.45">
      <c r="A773" s="226"/>
      <c r="B773" s="226"/>
      <c r="C773" s="216"/>
      <c r="D773" s="216"/>
      <c r="E773" s="216"/>
      <c r="F773" s="216"/>
      <c r="G773" s="217"/>
      <c r="H773" s="218"/>
      <c r="I773" s="218" t="s">
        <v>1517</v>
      </c>
      <c r="J773" s="218"/>
    </row>
    <row r="774" spans="1:10" ht="15.75" customHeight="1" x14ac:dyDescent="0.45">
      <c r="A774" s="226"/>
      <c r="B774" s="226"/>
      <c r="C774" s="216"/>
      <c r="D774" s="216"/>
      <c r="E774" s="216"/>
      <c r="F774" s="216"/>
      <c r="G774" s="217"/>
      <c r="H774" s="218"/>
      <c r="I774" s="218" t="s">
        <v>1517</v>
      </c>
      <c r="J774" s="218"/>
    </row>
    <row r="775" spans="1:10" ht="15.75" customHeight="1" x14ac:dyDescent="0.45">
      <c r="A775" s="226"/>
      <c r="B775" s="226"/>
      <c r="C775" s="216"/>
      <c r="D775" s="216"/>
      <c r="E775" s="216"/>
      <c r="F775" s="216"/>
      <c r="G775" s="217"/>
      <c r="H775" s="218"/>
      <c r="I775" s="218" t="s">
        <v>1517</v>
      </c>
      <c r="J775" s="218"/>
    </row>
    <row r="776" spans="1:10" ht="15.75" customHeight="1" x14ac:dyDescent="0.45">
      <c r="A776" s="226"/>
      <c r="B776" s="226"/>
      <c r="C776" s="216"/>
      <c r="D776" s="216"/>
      <c r="E776" s="216"/>
      <c r="F776" s="216"/>
      <c r="G776" s="217"/>
      <c r="H776" s="218"/>
      <c r="I776" s="218" t="s">
        <v>1517</v>
      </c>
      <c r="J776" s="218"/>
    </row>
    <row r="777" spans="1:10" ht="15.75" customHeight="1" x14ac:dyDescent="0.45">
      <c r="A777" s="226"/>
      <c r="B777" s="226"/>
      <c r="C777" s="216"/>
      <c r="D777" s="216"/>
      <c r="E777" s="216"/>
      <c r="F777" s="216"/>
      <c r="G777" s="217"/>
      <c r="H777" s="218"/>
      <c r="I777" s="218" t="s">
        <v>1517</v>
      </c>
      <c r="J777" s="218"/>
    </row>
    <row r="778" spans="1:10" ht="15.75" customHeight="1" x14ac:dyDescent="0.45">
      <c r="A778" s="226"/>
      <c r="B778" s="226"/>
      <c r="C778" s="216"/>
      <c r="D778" s="216"/>
      <c r="E778" s="216"/>
      <c r="F778" s="216"/>
      <c r="G778" s="217"/>
      <c r="H778" s="218"/>
      <c r="I778" s="218" t="s">
        <v>1517</v>
      </c>
      <c r="J778" s="218"/>
    </row>
    <row r="779" spans="1:10" ht="15.75" customHeight="1" x14ac:dyDescent="0.45">
      <c r="A779" s="226"/>
      <c r="B779" s="226"/>
      <c r="C779" s="216"/>
      <c r="D779" s="216"/>
      <c r="E779" s="216"/>
      <c r="F779" s="216"/>
      <c r="G779" s="217"/>
      <c r="H779" s="218"/>
      <c r="I779" s="218" t="s">
        <v>1517</v>
      </c>
      <c r="J779" s="218"/>
    </row>
    <row r="780" spans="1:10" ht="15.75" customHeight="1" x14ac:dyDescent="0.45">
      <c r="A780" s="226"/>
      <c r="B780" s="226"/>
      <c r="C780" s="216"/>
      <c r="D780" s="216"/>
      <c r="E780" s="216"/>
      <c r="F780" s="216"/>
      <c r="G780" s="217"/>
      <c r="H780" s="218"/>
      <c r="I780" s="218" t="s">
        <v>1517</v>
      </c>
      <c r="J780" s="218"/>
    </row>
    <row r="781" spans="1:10" ht="15.75" customHeight="1" x14ac:dyDescent="0.45">
      <c r="A781" s="226"/>
      <c r="B781" s="226"/>
      <c r="C781" s="216"/>
      <c r="D781" s="216"/>
      <c r="E781" s="216"/>
      <c r="F781" s="216"/>
      <c r="G781" s="217"/>
      <c r="H781" s="218"/>
      <c r="I781" s="218" t="s">
        <v>1517</v>
      </c>
      <c r="J781" s="218"/>
    </row>
    <row r="782" spans="1:10" ht="15.75" customHeight="1" x14ac:dyDescent="0.45">
      <c r="A782" s="226"/>
      <c r="B782" s="226"/>
      <c r="C782" s="216"/>
      <c r="D782" s="216"/>
      <c r="E782" s="216"/>
      <c r="F782" s="216"/>
      <c r="G782" s="217"/>
      <c r="H782" s="218"/>
      <c r="I782" s="218" t="s">
        <v>1517</v>
      </c>
      <c r="J782" s="218"/>
    </row>
    <row r="783" spans="1:10" ht="15.75" customHeight="1" x14ac:dyDescent="0.45">
      <c r="A783" s="226"/>
      <c r="B783" s="226"/>
      <c r="C783" s="216"/>
      <c r="D783" s="216"/>
      <c r="E783" s="216"/>
      <c r="F783" s="216"/>
      <c r="G783" s="217"/>
      <c r="H783" s="218"/>
      <c r="I783" s="218" t="s">
        <v>1517</v>
      </c>
      <c r="J783" s="218"/>
    </row>
    <row r="784" spans="1:10" ht="15.75" customHeight="1" x14ac:dyDescent="0.45">
      <c r="A784" s="226"/>
      <c r="B784" s="226"/>
      <c r="C784" s="216"/>
      <c r="D784" s="216"/>
      <c r="E784" s="216"/>
      <c r="F784" s="216"/>
      <c r="G784" s="217"/>
      <c r="H784" s="218"/>
      <c r="I784" s="218" t="s">
        <v>1517</v>
      </c>
      <c r="J784" s="218"/>
    </row>
    <row r="785" spans="1:10" ht="15.75" customHeight="1" x14ac:dyDescent="0.45">
      <c r="A785" s="226"/>
      <c r="B785" s="226"/>
      <c r="C785" s="216"/>
      <c r="D785" s="216"/>
      <c r="E785" s="216"/>
      <c r="F785" s="216"/>
      <c r="G785" s="217"/>
      <c r="H785" s="218"/>
      <c r="I785" s="218" t="s">
        <v>1517</v>
      </c>
      <c r="J785" s="218"/>
    </row>
    <row r="786" spans="1:10" ht="15.75" customHeight="1" x14ac:dyDescent="0.45">
      <c r="A786" s="226"/>
      <c r="B786" s="226"/>
      <c r="C786" s="216"/>
      <c r="D786" s="216"/>
      <c r="E786" s="216"/>
      <c r="F786" s="216"/>
      <c r="G786" s="217"/>
      <c r="H786" s="218"/>
      <c r="I786" s="218" t="s">
        <v>1517</v>
      </c>
      <c r="J786" s="218"/>
    </row>
    <row r="787" spans="1:10" ht="15.75" customHeight="1" x14ac:dyDescent="0.45">
      <c r="A787" s="226"/>
      <c r="B787" s="226"/>
      <c r="C787" s="216"/>
      <c r="D787" s="216"/>
      <c r="E787" s="216"/>
      <c r="F787" s="216"/>
      <c r="G787" s="217"/>
      <c r="H787" s="218"/>
      <c r="I787" s="218" t="s">
        <v>1517</v>
      </c>
      <c r="J787" s="218"/>
    </row>
    <row r="788" spans="1:10" ht="15.75" customHeight="1" x14ac:dyDescent="0.45">
      <c r="A788" s="226"/>
      <c r="B788" s="226"/>
      <c r="C788" s="216"/>
      <c r="D788" s="216"/>
      <c r="E788" s="216"/>
      <c r="F788" s="216"/>
      <c r="G788" s="217"/>
      <c r="H788" s="218"/>
      <c r="I788" s="218" t="s">
        <v>1517</v>
      </c>
      <c r="J788" s="218"/>
    </row>
    <row r="789" spans="1:10" ht="15.75" customHeight="1" x14ac:dyDescent="0.45">
      <c r="A789" s="226"/>
      <c r="B789" s="226"/>
      <c r="C789" s="216"/>
      <c r="D789" s="216"/>
      <c r="E789" s="216"/>
      <c r="F789" s="216"/>
      <c r="G789" s="217"/>
      <c r="H789" s="218"/>
      <c r="I789" s="218" t="s">
        <v>1517</v>
      </c>
      <c r="J789" s="218"/>
    </row>
    <row r="790" spans="1:10" ht="15.75" customHeight="1" x14ac:dyDescent="0.45">
      <c r="A790" s="226"/>
      <c r="B790" s="226"/>
      <c r="C790" s="216"/>
      <c r="D790" s="216"/>
      <c r="E790" s="216"/>
      <c r="F790" s="216"/>
      <c r="G790" s="217"/>
      <c r="H790" s="218"/>
      <c r="I790" s="218" t="s">
        <v>1517</v>
      </c>
      <c r="J790" s="218"/>
    </row>
    <row r="791" spans="1:10" ht="15.75" customHeight="1" x14ac:dyDescent="0.45">
      <c r="A791" s="226"/>
      <c r="B791" s="226"/>
      <c r="C791" s="216"/>
      <c r="D791" s="216"/>
      <c r="E791" s="216"/>
      <c r="F791" s="216"/>
      <c r="G791" s="217"/>
      <c r="H791" s="218"/>
      <c r="I791" s="218" t="s">
        <v>1517</v>
      </c>
      <c r="J791" s="218"/>
    </row>
    <row r="792" spans="1:10" ht="15.75" customHeight="1" x14ac:dyDescent="0.45">
      <c r="A792" s="226"/>
      <c r="B792" s="226"/>
      <c r="C792" s="216"/>
      <c r="D792" s="216"/>
      <c r="E792" s="216"/>
      <c r="F792" s="216"/>
      <c r="G792" s="217"/>
      <c r="H792" s="218"/>
      <c r="I792" s="218" t="s">
        <v>1517</v>
      </c>
      <c r="J792" s="218"/>
    </row>
    <row r="793" spans="1:10" ht="15.75" customHeight="1" x14ac:dyDescent="0.45">
      <c r="A793" s="226"/>
      <c r="B793" s="226"/>
      <c r="C793" s="216"/>
      <c r="D793" s="216"/>
      <c r="E793" s="216"/>
      <c r="F793" s="216"/>
      <c r="G793" s="217"/>
      <c r="H793" s="218"/>
      <c r="I793" s="218" t="s">
        <v>1517</v>
      </c>
      <c r="J793" s="218"/>
    </row>
    <row r="794" spans="1:10" ht="15.75" customHeight="1" x14ac:dyDescent="0.45">
      <c r="A794" s="226"/>
      <c r="B794" s="226"/>
      <c r="C794" s="216"/>
      <c r="D794" s="216"/>
      <c r="E794" s="216"/>
      <c r="F794" s="216"/>
      <c r="G794" s="217"/>
      <c r="H794" s="218"/>
      <c r="I794" s="218" t="s">
        <v>1517</v>
      </c>
      <c r="J794" s="218"/>
    </row>
    <row r="795" spans="1:10" ht="15.75" customHeight="1" x14ac:dyDescent="0.45">
      <c r="A795" s="226"/>
      <c r="B795" s="226"/>
      <c r="C795" s="216"/>
      <c r="D795" s="216"/>
      <c r="E795" s="216"/>
      <c r="F795" s="216"/>
      <c r="G795" s="217"/>
      <c r="H795" s="218"/>
      <c r="I795" s="218" t="s">
        <v>1517</v>
      </c>
      <c r="J795" s="218"/>
    </row>
    <row r="796" spans="1:10" ht="15.75" customHeight="1" x14ac:dyDescent="0.45">
      <c r="A796" s="226"/>
      <c r="B796" s="226"/>
      <c r="C796" s="216"/>
      <c r="D796" s="216"/>
      <c r="E796" s="216"/>
      <c r="F796" s="216"/>
      <c r="G796" s="217"/>
      <c r="H796" s="218"/>
      <c r="I796" s="218" t="s">
        <v>1517</v>
      </c>
      <c r="J796" s="218"/>
    </row>
    <row r="797" spans="1:10" ht="15.75" customHeight="1" x14ac:dyDescent="0.45">
      <c r="A797" s="226"/>
      <c r="B797" s="226"/>
      <c r="C797" s="216"/>
      <c r="D797" s="216"/>
      <c r="E797" s="216"/>
      <c r="F797" s="216"/>
      <c r="G797" s="217"/>
      <c r="H797" s="218"/>
      <c r="I797" s="218" t="s">
        <v>1517</v>
      </c>
      <c r="J797" s="218"/>
    </row>
    <row r="798" spans="1:10" ht="15.75" customHeight="1" x14ac:dyDescent="0.45">
      <c r="A798" s="226"/>
      <c r="B798" s="226"/>
      <c r="C798" s="216"/>
      <c r="D798" s="216"/>
      <c r="E798" s="216"/>
      <c r="F798" s="216"/>
      <c r="G798" s="217"/>
      <c r="H798" s="218"/>
      <c r="I798" s="218" t="s">
        <v>1517</v>
      </c>
      <c r="J798" s="218"/>
    </row>
    <row r="799" spans="1:10" ht="15.75" customHeight="1" x14ac:dyDescent="0.45">
      <c r="A799" s="226"/>
      <c r="B799" s="226"/>
      <c r="C799" s="216"/>
      <c r="D799" s="216"/>
      <c r="E799" s="216"/>
      <c r="F799" s="216"/>
      <c r="G799" s="217"/>
      <c r="H799" s="218"/>
      <c r="I799" s="218" t="s">
        <v>1517</v>
      </c>
      <c r="J799" s="218"/>
    </row>
    <row r="800" spans="1:10" ht="15.75" customHeight="1" x14ac:dyDescent="0.45">
      <c r="A800" s="226"/>
      <c r="B800" s="226"/>
      <c r="C800" s="216"/>
      <c r="D800" s="216"/>
      <c r="E800" s="216"/>
      <c r="F800" s="216"/>
      <c r="G800" s="217"/>
      <c r="H800" s="218"/>
      <c r="I800" s="218" t="s">
        <v>1517</v>
      </c>
      <c r="J800" s="218"/>
    </row>
    <row r="801" spans="1:10" ht="15.75" customHeight="1" x14ac:dyDescent="0.45">
      <c r="A801" s="226"/>
      <c r="B801" s="226"/>
      <c r="C801" s="216"/>
      <c r="D801" s="216"/>
      <c r="E801" s="216"/>
      <c r="F801" s="216"/>
      <c r="G801" s="217"/>
      <c r="H801" s="218"/>
      <c r="I801" s="218" t="s">
        <v>1517</v>
      </c>
      <c r="J801" s="218"/>
    </row>
    <row r="802" spans="1:10" ht="15.75" customHeight="1" x14ac:dyDescent="0.45">
      <c r="A802" s="226"/>
      <c r="B802" s="226"/>
      <c r="C802" s="216"/>
      <c r="D802" s="216"/>
      <c r="E802" s="216"/>
      <c r="F802" s="216"/>
      <c r="G802" s="217"/>
      <c r="H802" s="218"/>
      <c r="I802" s="218" t="s">
        <v>1517</v>
      </c>
      <c r="J802" s="218"/>
    </row>
    <row r="803" spans="1:10" ht="15.75" customHeight="1" x14ac:dyDescent="0.45">
      <c r="A803" s="226"/>
      <c r="B803" s="226"/>
      <c r="C803" s="216"/>
      <c r="D803" s="216"/>
      <c r="E803" s="216"/>
      <c r="F803" s="216"/>
      <c r="G803" s="217"/>
      <c r="H803" s="218"/>
      <c r="I803" s="218" t="s">
        <v>1517</v>
      </c>
      <c r="J803" s="218"/>
    </row>
    <row r="804" spans="1:10" ht="15.75" customHeight="1" x14ac:dyDescent="0.45">
      <c r="A804" s="226"/>
      <c r="B804" s="226"/>
      <c r="C804" s="216"/>
      <c r="D804" s="216"/>
      <c r="E804" s="216"/>
      <c r="F804" s="216"/>
      <c r="G804" s="217"/>
      <c r="H804" s="218"/>
      <c r="I804" s="218" t="s">
        <v>1517</v>
      </c>
      <c r="J804" s="218"/>
    </row>
    <row r="805" spans="1:10" ht="15.75" customHeight="1" x14ac:dyDescent="0.45">
      <c r="A805" s="226"/>
      <c r="B805" s="226"/>
      <c r="C805" s="216"/>
      <c r="D805" s="216"/>
      <c r="E805" s="216"/>
      <c r="F805" s="216"/>
      <c r="G805" s="217"/>
      <c r="H805" s="218"/>
      <c r="I805" s="218" t="s">
        <v>1517</v>
      </c>
      <c r="J805" s="218"/>
    </row>
    <row r="806" spans="1:10" ht="15.75" customHeight="1" x14ac:dyDescent="0.45">
      <c r="A806" s="226"/>
      <c r="B806" s="226"/>
      <c r="C806" s="216"/>
      <c r="D806" s="216"/>
      <c r="E806" s="216"/>
      <c r="F806" s="216"/>
      <c r="G806" s="217"/>
      <c r="H806" s="218"/>
      <c r="I806" s="218" t="s">
        <v>1517</v>
      </c>
      <c r="J806" s="218"/>
    </row>
    <row r="807" spans="1:10" ht="15.75" customHeight="1" x14ac:dyDescent="0.45">
      <c r="A807" s="226"/>
      <c r="B807" s="226"/>
      <c r="C807" s="216"/>
      <c r="D807" s="216"/>
      <c r="E807" s="216"/>
      <c r="F807" s="216"/>
      <c r="G807" s="217"/>
      <c r="H807" s="218"/>
      <c r="I807" s="218" t="s">
        <v>1517</v>
      </c>
      <c r="J807" s="218"/>
    </row>
    <row r="808" spans="1:10" ht="15.75" customHeight="1" x14ac:dyDescent="0.45">
      <c r="A808" s="226"/>
      <c r="B808" s="226"/>
      <c r="C808" s="216"/>
      <c r="D808" s="216"/>
      <c r="E808" s="216"/>
      <c r="F808" s="216"/>
      <c r="G808" s="217"/>
      <c r="H808" s="218"/>
      <c r="I808" s="218" t="s">
        <v>1517</v>
      </c>
      <c r="J808" s="218"/>
    </row>
    <row r="809" spans="1:10" ht="15.75" customHeight="1" x14ac:dyDescent="0.45">
      <c r="A809" s="226"/>
      <c r="B809" s="226"/>
      <c r="C809" s="216"/>
      <c r="D809" s="216"/>
      <c r="E809" s="216"/>
      <c r="F809" s="216"/>
      <c r="G809" s="217"/>
      <c r="H809" s="218"/>
      <c r="I809" s="218" t="s">
        <v>1517</v>
      </c>
      <c r="J809" s="218"/>
    </row>
    <row r="810" spans="1:10" ht="15.75" customHeight="1" x14ac:dyDescent="0.45">
      <c r="A810" s="226"/>
      <c r="B810" s="226"/>
      <c r="C810" s="216"/>
      <c r="D810" s="216"/>
      <c r="E810" s="216"/>
      <c r="F810" s="216"/>
      <c r="G810" s="217"/>
      <c r="H810" s="218"/>
      <c r="I810" s="218" t="s">
        <v>1517</v>
      </c>
      <c r="J810" s="218"/>
    </row>
    <row r="811" spans="1:10" ht="15.75" customHeight="1" x14ac:dyDescent="0.45">
      <c r="A811" s="226"/>
      <c r="B811" s="226"/>
      <c r="C811" s="216"/>
      <c r="D811" s="216"/>
      <c r="E811" s="216"/>
      <c r="F811" s="216"/>
      <c r="G811" s="217"/>
      <c r="H811" s="218"/>
      <c r="I811" s="218" t="s">
        <v>1517</v>
      </c>
      <c r="J811" s="218"/>
    </row>
    <row r="812" spans="1:10" ht="15.75" customHeight="1" x14ac:dyDescent="0.45">
      <c r="A812" s="226"/>
      <c r="B812" s="226"/>
      <c r="C812" s="216"/>
      <c r="D812" s="216"/>
      <c r="E812" s="216"/>
      <c r="F812" s="216"/>
      <c r="G812" s="217"/>
      <c r="H812" s="218"/>
      <c r="I812" s="218" t="s">
        <v>1517</v>
      </c>
      <c r="J812" s="218"/>
    </row>
    <row r="813" spans="1:10" ht="15.75" customHeight="1" x14ac:dyDescent="0.45">
      <c r="A813" s="226"/>
      <c r="B813" s="226"/>
      <c r="C813" s="216"/>
      <c r="D813" s="216"/>
      <c r="E813" s="216"/>
      <c r="F813" s="216"/>
      <c r="G813" s="217"/>
      <c r="H813" s="218"/>
      <c r="I813" s="218" t="s">
        <v>1517</v>
      </c>
      <c r="J813" s="218"/>
    </row>
    <row r="814" spans="1:10" ht="15.75" customHeight="1" x14ac:dyDescent="0.45">
      <c r="A814" s="226"/>
      <c r="B814" s="226"/>
      <c r="C814" s="216"/>
      <c r="D814" s="216"/>
      <c r="E814" s="216"/>
      <c r="F814" s="216"/>
      <c r="G814" s="217"/>
      <c r="H814" s="218"/>
      <c r="I814" s="218" t="s">
        <v>1517</v>
      </c>
      <c r="J814" s="218"/>
    </row>
    <row r="815" spans="1:10" ht="15.75" customHeight="1" x14ac:dyDescent="0.45">
      <c r="A815" s="226"/>
      <c r="B815" s="226"/>
      <c r="C815" s="216"/>
      <c r="D815" s="216"/>
      <c r="E815" s="216"/>
      <c r="F815" s="216"/>
      <c r="G815" s="217"/>
      <c r="H815" s="218"/>
      <c r="I815" s="218" t="s">
        <v>1517</v>
      </c>
      <c r="J815" s="218"/>
    </row>
    <row r="816" spans="1:10" ht="15.75" customHeight="1" x14ac:dyDescent="0.45">
      <c r="A816" s="226"/>
      <c r="B816" s="226"/>
      <c r="C816" s="216"/>
      <c r="D816" s="216"/>
      <c r="E816" s="216"/>
      <c r="F816" s="216"/>
      <c r="G816" s="217"/>
      <c r="H816" s="218"/>
      <c r="I816" s="218" t="s">
        <v>1517</v>
      </c>
      <c r="J816" s="218"/>
    </row>
    <row r="817" spans="1:10" ht="15.75" customHeight="1" x14ac:dyDescent="0.45">
      <c r="A817" s="226"/>
      <c r="B817" s="226"/>
      <c r="C817" s="216"/>
      <c r="D817" s="216"/>
      <c r="E817" s="216"/>
      <c r="F817" s="216"/>
      <c r="G817" s="217"/>
      <c r="H817" s="218"/>
      <c r="I817" s="218" t="s">
        <v>1517</v>
      </c>
      <c r="J817" s="218"/>
    </row>
    <row r="818" spans="1:10" ht="15.75" customHeight="1" x14ac:dyDescent="0.45">
      <c r="A818" s="226"/>
      <c r="B818" s="226"/>
      <c r="C818" s="216"/>
      <c r="D818" s="216"/>
      <c r="E818" s="216"/>
      <c r="F818" s="216"/>
      <c r="G818" s="217"/>
      <c r="H818" s="218"/>
      <c r="I818" s="218" t="s">
        <v>1517</v>
      </c>
      <c r="J818" s="218"/>
    </row>
    <row r="819" spans="1:10" ht="15.75" customHeight="1" x14ac:dyDescent="0.45">
      <c r="A819" s="226"/>
      <c r="B819" s="226"/>
      <c r="C819" s="216"/>
      <c r="D819" s="216"/>
      <c r="E819" s="216"/>
      <c r="F819" s="216"/>
      <c r="G819" s="217"/>
      <c r="H819" s="218"/>
      <c r="I819" s="218" t="s">
        <v>1517</v>
      </c>
      <c r="J819" s="218"/>
    </row>
    <row r="820" spans="1:10" ht="15.75" customHeight="1" x14ac:dyDescent="0.45">
      <c r="A820" s="226"/>
      <c r="B820" s="226"/>
      <c r="C820" s="216"/>
      <c r="D820" s="216"/>
      <c r="E820" s="216"/>
      <c r="F820" s="216"/>
      <c r="G820" s="217"/>
      <c r="H820" s="218"/>
      <c r="I820" s="218" t="s">
        <v>1517</v>
      </c>
      <c r="J820" s="218"/>
    </row>
    <row r="821" spans="1:10" ht="15.75" customHeight="1" x14ac:dyDescent="0.45">
      <c r="A821" s="226"/>
      <c r="B821" s="226"/>
      <c r="C821" s="216"/>
      <c r="D821" s="216"/>
      <c r="E821" s="216"/>
      <c r="F821" s="216"/>
      <c r="G821" s="217"/>
      <c r="H821" s="218"/>
      <c r="I821" s="218" t="s">
        <v>1517</v>
      </c>
      <c r="J821" s="218"/>
    </row>
    <row r="822" spans="1:10" ht="15.75" customHeight="1" x14ac:dyDescent="0.45">
      <c r="A822" s="226"/>
      <c r="B822" s="226"/>
      <c r="C822" s="216"/>
      <c r="D822" s="216"/>
      <c r="E822" s="216"/>
      <c r="F822" s="216"/>
      <c r="G822" s="217"/>
      <c r="H822" s="218"/>
      <c r="I822" s="218" t="s">
        <v>1517</v>
      </c>
      <c r="J822" s="218"/>
    </row>
    <row r="823" spans="1:10" ht="15.75" customHeight="1" x14ac:dyDescent="0.45">
      <c r="A823" s="226"/>
      <c r="B823" s="226"/>
      <c r="C823" s="216"/>
      <c r="D823" s="216"/>
      <c r="E823" s="216"/>
      <c r="F823" s="216"/>
      <c r="G823" s="217"/>
      <c r="H823" s="218"/>
      <c r="I823" s="218" t="s">
        <v>1517</v>
      </c>
      <c r="J823" s="218"/>
    </row>
    <row r="824" spans="1:10" ht="15.75" customHeight="1" x14ac:dyDescent="0.45">
      <c r="A824" s="226"/>
      <c r="B824" s="226"/>
      <c r="C824" s="216"/>
      <c r="D824" s="216"/>
      <c r="E824" s="216"/>
      <c r="F824" s="216"/>
      <c r="G824" s="217"/>
      <c r="H824" s="218"/>
      <c r="I824" s="218" t="s">
        <v>1517</v>
      </c>
      <c r="J824" s="218"/>
    </row>
    <row r="825" spans="1:10" ht="15.75" customHeight="1" x14ac:dyDescent="0.45">
      <c r="A825" s="226"/>
      <c r="B825" s="226"/>
      <c r="C825" s="216"/>
      <c r="D825" s="216"/>
      <c r="E825" s="216"/>
      <c r="F825" s="216"/>
      <c r="G825" s="217"/>
      <c r="H825" s="218"/>
      <c r="I825" s="218" t="s">
        <v>1517</v>
      </c>
      <c r="J825" s="218"/>
    </row>
    <row r="826" spans="1:10" ht="15.75" customHeight="1" x14ac:dyDescent="0.45">
      <c r="A826" s="226"/>
      <c r="B826" s="226"/>
      <c r="C826" s="216"/>
      <c r="D826" s="216"/>
      <c r="E826" s="216"/>
      <c r="F826" s="216"/>
      <c r="G826" s="217"/>
      <c r="H826" s="218"/>
      <c r="I826" s="218" t="s">
        <v>1517</v>
      </c>
      <c r="J826" s="218"/>
    </row>
    <row r="827" spans="1:10" ht="15.75" customHeight="1" x14ac:dyDescent="0.45">
      <c r="A827" s="226"/>
      <c r="B827" s="226"/>
      <c r="C827" s="216"/>
      <c r="D827" s="216"/>
      <c r="E827" s="216"/>
      <c r="F827" s="216"/>
      <c r="G827" s="217"/>
      <c r="H827" s="218"/>
      <c r="I827" s="218" t="s">
        <v>1517</v>
      </c>
      <c r="J827" s="218"/>
    </row>
    <row r="828" spans="1:10" ht="15.75" customHeight="1" x14ac:dyDescent="0.45">
      <c r="A828" s="226"/>
      <c r="B828" s="226"/>
      <c r="C828" s="216"/>
      <c r="D828" s="216"/>
      <c r="E828" s="216"/>
      <c r="F828" s="216"/>
      <c r="G828" s="217"/>
      <c r="H828" s="218"/>
      <c r="I828" s="218" t="s">
        <v>1517</v>
      </c>
      <c r="J828" s="218"/>
    </row>
    <row r="829" spans="1:10" ht="15.75" customHeight="1" x14ac:dyDescent="0.45">
      <c r="A829" s="226"/>
      <c r="B829" s="226"/>
      <c r="C829" s="216"/>
      <c r="D829" s="216"/>
      <c r="E829" s="216"/>
      <c r="F829" s="216"/>
      <c r="G829" s="217"/>
      <c r="H829" s="218"/>
      <c r="I829" s="218" t="s">
        <v>1517</v>
      </c>
      <c r="J829" s="218"/>
    </row>
    <row r="830" spans="1:10" ht="15.75" customHeight="1" x14ac:dyDescent="0.45">
      <c r="A830" s="226"/>
      <c r="B830" s="226"/>
      <c r="C830" s="216"/>
      <c r="D830" s="216"/>
      <c r="E830" s="216"/>
      <c r="F830" s="216"/>
      <c r="G830" s="217"/>
      <c r="H830" s="218"/>
      <c r="I830" s="218" t="s">
        <v>1517</v>
      </c>
      <c r="J830" s="218"/>
    </row>
    <row r="831" spans="1:10" ht="15.75" customHeight="1" x14ac:dyDescent="0.45">
      <c r="A831" s="226"/>
      <c r="B831" s="226"/>
      <c r="C831" s="216"/>
      <c r="D831" s="216"/>
      <c r="E831" s="216"/>
      <c r="F831" s="216"/>
      <c r="G831" s="217"/>
      <c r="H831" s="218"/>
      <c r="I831" s="218" t="s">
        <v>1517</v>
      </c>
      <c r="J831" s="218"/>
    </row>
    <row r="832" spans="1:10" ht="15.75" customHeight="1" x14ac:dyDescent="0.45">
      <c r="A832" s="226"/>
      <c r="B832" s="226"/>
      <c r="C832" s="216"/>
      <c r="D832" s="216"/>
      <c r="E832" s="216"/>
      <c r="F832" s="216"/>
      <c r="G832" s="217"/>
      <c r="H832" s="218"/>
      <c r="I832" s="218" t="s">
        <v>1517</v>
      </c>
      <c r="J832" s="218"/>
    </row>
    <row r="833" spans="1:10" ht="15.75" customHeight="1" x14ac:dyDescent="0.45">
      <c r="A833" s="226"/>
      <c r="B833" s="226"/>
      <c r="C833" s="216"/>
      <c r="D833" s="216"/>
      <c r="E833" s="216"/>
      <c r="F833" s="216"/>
      <c r="G833" s="217"/>
      <c r="H833" s="218"/>
      <c r="I833" s="218" t="s">
        <v>1517</v>
      </c>
      <c r="J833" s="218"/>
    </row>
    <row r="834" spans="1:10" ht="15.75" customHeight="1" x14ac:dyDescent="0.45">
      <c r="A834" s="226"/>
      <c r="B834" s="226"/>
      <c r="C834" s="216"/>
      <c r="D834" s="216"/>
      <c r="E834" s="216"/>
      <c r="F834" s="216"/>
      <c r="G834" s="217"/>
      <c r="H834" s="218"/>
      <c r="I834" s="218" t="s">
        <v>1517</v>
      </c>
      <c r="J834" s="218"/>
    </row>
    <row r="835" spans="1:10" ht="15.75" customHeight="1" x14ac:dyDescent="0.45">
      <c r="A835" s="226"/>
      <c r="B835" s="226"/>
      <c r="C835" s="216"/>
      <c r="D835" s="216"/>
      <c r="E835" s="216"/>
      <c r="F835" s="216"/>
      <c r="G835" s="217"/>
      <c r="H835" s="218"/>
      <c r="I835" s="218" t="s">
        <v>1517</v>
      </c>
      <c r="J835" s="218"/>
    </row>
    <row r="836" spans="1:10" ht="15.75" customHeight="1" x14ac:dyDescent="0.45">
      <c r="A836" s="226"/>
      <c r="B836" s="226"/>
      <c r="C836" s="216"/>
      <c r="D836" s="216"/>
      <c r="E836" s="216"/>
      <c r="F836" s="216"/>
      <c r="G836" s="217"/>
      <c r="H836" s="218"/>
      <c r="I836" s="218" t="s">
        <v>1517</v>
      </c>
      <c r="J836" s="218"/>
    </row>
    <row r="837" spans="1:10" ht="15.75" customHeight="1" x14ac:dyDescent="0.45">
      <c r="A837" s="226"/>
      <c r="B837" s="226"/>
      <c r="C837" s="216"/>
      <c r="D837" s="216"/>
      <c r="E837" s="216"/>
      <c r="F837" s="216"/>
      <c r="G837" s="217"/>
      <c r="H837" s="218"/>
      <c r="I837" s="218" t="s">
        <v>1517</v>
      </c>
      <c r="J837" s="218"/>
    </row>
    <row r="838" spans="1:10" ht="15.75" customHeight="1" x14ac:dyDescent="0.45">
      <c r="A838" s="226"/>
      <c r="B838" s="226"/>
      <c r="C838" s="216"/>
      <c r="D838" s="216"/>
      <c r="E838" s="216"/>
      <c r="F838" s="216"/>
      <c r="G838" s="217"/>
      <c r="H838" s="218"/>
      <c r="I838" s="218" t="s">
        <v>1517</v>
      </c>
      <c r="J838" s="218"/>
    </row>
    <row r="839" spans="1:10" ht="15.75" customHeight="1" x14ac:dyDescent="0.45">
      <c r="A839" s="226"/>
      <c r="B839" s="226"/>
      <c r="C839" s="216"/>
      <c r="D839" s="216"/>
      <c r="E839" s="216"/>
      <c r="F839" s="216"/>
      <c r="G839" s="217"/>
      <c r="H839" s="218"/>
      <c r="I839" s="218" t="s">
        <v>1517</v>
      </c>
      <c r="J839" s="218"/>
    </row>
    <row r="840" spans="1:10" ht="15.75" customHeight="1" x14ac:dyDescent="0.45">
      <c r="A840" s="226"/>
      <c r="B840" s="226"/>
      <c r="C840" s="216"/>
      <c r="D840" s="216"/>
      <c r="E840" s="216"/>
      <c r="F840" s="216"/>
      <c r="G840" s="217"/>
      <c r="H840" s="218"/>
      <c r="I840" s="218" t="s">
        <v>1517</v>
      </c>
      <c r="J840" s="218"/>
    </row>
    <row r="841" spans="1:10" ht="15.75" customHeight="1" x14ac:dyDescent="0.45">
      <c r="A841" s="226"/>
      <c r="B841" s="226"/>
      <c r="C841" s="216"/>
      <c r="D841" s="216"/>
      <c r="E841" s="216"/>
      <c r="F841" s="216"/>
      <c r="G841" s="217"/>
      <c r="H841" s="218"/>
      <c r="I841" s="218" t="s">
        <v>1517</v>
      </c>
      <c r="J841" s="218"/>
    </row>
    <row r="842" spans="1:10" ht="15.75" customHeight="1" x14ac:dyDescent="0.45">
      <c r="A842" s="226"/>
      <c r="B842" s="226"/>
      <c r="C842" s="216"/>
      <c r="D842" s="216"/>
      <c r="E842" s="216"/>
      <c r="F842" s="216"/>
      <c r="G842" s="217"/>
      <c r="H842" s="218"/>
      <c r="I842" s="218" t="s">
        <v>1517</v>
      </c>
      <c r="J842" s="218"/>
    </row>
    <row r="843" spans="1:10" ht="15.75" customHeight="1" x14ac:dyDescent="0.45">
      <c r="A843" s="226"/>
      <c r="B843" s="226"/>
      <c r="C843" s="216"/>
      <c r="D843" s="216"/>
      <c r="E843" s="216"/>
      <c r="F843" s="216"/>
      <c r="G843" s="217"/>
      <c r="H843" s="218"/>
      <c r="I843" s="218" t="s">
        <v>1517</v>
      </c>
      <c r="J843" s="218"/>
    </row>
    <row r="844" spans="1:10" ht="15.75" customHeight="1" x14ac:dyDescent="0.45">
      <c r="A844" s="226"/>
      <c r="B844" s="226"/>
      <c r="C844" s="216"/>
      <c r="D844" s="216"/>
      <c r="E844" s="216"/>
      <c r="F844" s="216"/>
      <c r="G844" s="217"/>
      <c r="H844" s="218"/>
      <c r="I844" s="218" t="s">
        <v>1517</v>
      </c>
      <c r="J844" s="218"/>
    </row>
    <row r="845" spans="1:10" ht="15.75" customHeight="1" x14ac:dyDescent="0.45">
      <c r="A845" s="226"/>
      <c r="B845" s="226"/>
      <c r="C845" s="216"/>
      <c r="D845" s="216"/>
      <c r="E845" s="216"/>
      <c r="F845" s="216"/>
      <c r="G845" s="217"/>
      <c r="H845" s="218"/>
      <c r="I845" s="218" t="s">
        <v>1517</v>
      </c>
      <c r="J845" s="218"/>
    </row>
    <row r="846" spans="1:10" ht="15.75" customHeight="1" x14ac:dyDescent="0.45">
      <c r="A846" s="226"/>
      <c r="B846" s="226"/>
      <c r="C846" s="216"/>
      <c r="D846" s="216"/>
      <c r="E846" s="216"/>
      <c r="F846" s="216"/>
      <c r="G846" s="217"/>
      <c r="H846" s="218"/>
      <c r="I846" s="218" t="s">
        <v>1517</v>
      </c>
      <c r="J846" s="218"/>
    </row>
    <row r="847" spans="1:10" ht="15.75" customHeight="1" x14ac:dyDescent="0.45">
      <c r="A847" s="226"/>
      <c r="B847" s="226"/>
      <c r="C847" s="216"/>
      <c r="D847" s="216"/>
      <c r="E847" s="216"/>
      <c r="F847" s="216"/>
      <c r="G847" s="217"/>
      <c r="H847" s="218"/>
      <c r="I847" s="218" t="s">
        <v>1517</v>
      </c>
      <c r="J847" s="218"/>
    </row>
    <row r="848" spans="1:10" ht="15.75" customHeight="1" x14ac:dyDescent="0.45">
      <c r="A848" s="226"/>
      <c r="B848" s="226"/>
      <c r="C848" s="216"/>
      <c r="D848" s="216"/>
      <c r="E848" s="216"/>
      <c r="F848" s="216"/>
      <c r="G848" s="217"/>
      <c r="H848" s="218"/>
      <c r="I848" s="218" t="s">
        <v>1517</v>
      </c>
      <c r="J848" s="218"/>
    </row>
    <row r="849" spans="1:10" ht="15.75" customHeight="1" x14ac:dyDescent="0.45">
      <c r="A849" s="226"/>
      <c r="B849" s="226"/>
      <c r="C849" s="216"/>
      <c r="D849" s="216"/>
      <c r="E849" s="216"/>
      <c r="F849" s="216"/>
      <c r="G849" s="217"/>
      <c r="H849" s="218"/>
      <c r="I849" s="218" t="s">
        <v>1517</v>
      </c>
      <c r="J849" s="218"/>
    </row>
    <row r="850" spans="1:10" ht="15.75" customHeight="1" x14ac:dyDescent="0.45">
      <c r="A850" s="226"/>
      <c r="B850" s="226"/>
      <c r="C850" s="216"/>
      <c r="D850" s="216"/>
      <c r="E850" s="216"/>
      <c r="F850" s="216"/>
      <c r="G850" s="217"/>
      <c r="H850" s="218"/>
      <c r="I850" s="218" t="s">
        <v>1517</v>
      </c>
      <c r="J850" s="218"/>
    </row>
    <row r="851" spans="1:10" ht="15.75" customHeight="1" x14ac:dyDescent="0.45">
      <c r="A851" s="226"/>
      <c r="B851" s="226"/>
      <c r="C851" s="216"/>
      <c r="D851" s="216"/>
      <c r="E851" s="216"/>
      <c r="F851" s="216"/>
      <c r="G851" s="217"/>
      <c r="H851" s="218"/>
      <c r="I851" s="218" t="s">
        <v>1517</v>
      </c>
      <c r="J851" s="218"/>
    </row>
    <row r="852" spans="1:10" ht="15.75" customHeight="1" x14ac:dyDescent="0.45">
      <c r="A852" s="226"/>
      <c r="B852" s="226"/>
      <c r="C852" s="216"/>
      <c r="D852" s="216"/>
      <c r="E852" s="216"/>
      <c r="F852" s="216"/>
      <c r="G852" s="217"/>
      <c r="H852" s="218"/>
      <c r="I852" s="218" t="s">
        <v>1517</v>
      </c>
      <c r="J852" s="218"/>
    </row>
    <row r="853" spans="1:10" ht="15.75" customHeight="1" x14ac:dyDescent="0.45">
      <c r="A853" s="226"/>
      <c r="B853" s="226"/>
      <c r="C853" s="216"/>
      <c r="D853" s="216"/>
      <c r="E853" s="216"/>
      <c r="F853" s="216"/>
      <c r="G853" s="217"/>
      <c r="H853" s="218"/>
      <c r="I853" s="218" t="s">
        <v>1517</v>
      </c>
      <c r="J853" s="218"/>
    </row>
    <row r="854" spans="1:10" ht="15.75" customHeight="1" x14ac:dyDescent="0.45">
      <c r="A854" s="226"/>
      <c r="B854" s="226"/>
      <c r="C854" s="216"/>
      <c r="D854" s="216"/>
      <c r="E854" s="216"/>
      <c r="F854" s="216"/>
      <c r="G854" s="217"/>
      <c r="H854" s="218"/>
      <c r="I854" s="218" t="s">
        <v>1517</v>
      </c>
      <c r="J854" s="218"/>
    </row>
    <row r="855" spans="1:10" ht="15.75" customHeight="1" x14ac:dyDescent="0.45">
      <c r="A855" s="226"/>
      <c r="B855" s="226"/>
      <c r="C855" s="216"/>
      <c r="D855" s="216"/>
      <c r="E855" s="216"/>
      <c r="F855" s="216"/>
      <c r="G855" s="217"/>
      <c r="H855" s="218"/>
      <c r="I855" s="218" t="s">
        <v>1517</v>
      </c>
      <c r="J855" s="218"/>
    </row>
    <row r="856" spans="1:10" ht="15.75" customHeight="1" x14ac:dyDescent="0.45">
      <c r="A856" s="226"/>
      <c r="B856" s="226"/>
      <c r="C856" s="216"/>
      <c r="D856" s="216"/>
      <c r="E856" s="216"/>
      <c r="F856" s="216"/>
      <c r="G856" s="217"/>
      <c r="H856" s="218"/>
      <c r="I856" s="218" t="s">
        <v>1517</v>
      </c>
      <c r="J856" s="218"/>
    </row>
    <row r="857" spans="1:10" ht="15.75" customHeight="1" x14ac:dyDescent="0.45">
      <c r="A857" s="226"/>
      <c r="B857" s="226"/>
      <c r="C857" s="216"/>
      <c r="D857" s="216"/>
      <c r="E857" s="216"/>
      <c r="F857" s="216"/>
      <c r="G857" s="217"/>
      <c r="H857" s="218"/>
      <c r="I857" s="218" t="s">
        <v>1517</v>
      </c>
      <c r="J857" s="218"/>
    </row>
    <row r="858" spans="1:10" ht="15.75" customHeight="1" x14ac:dyDescent="0.45">
      <c r="A858" s="226"/>
      <c r="B858" s="226"/>
      <c r="C858" s="216"/>
      <c r="D858" s="216"/>
      <c r="E858" s="216"/>
      <c r="F858" s="216"/>
      <c r="G858" s="217"/>
      <c r="H858" s="218"/>
      <c r="I858" s="218" t="s">
        <v>1517</v>
      </c>
      <c r="J858" s="218"/>
    </row>
    <row r="859" spans="1:10" ht="15.75" customHeight="1" x14ac:dyDescent="0.45">
      <c r="A859" s="226"/>
      <c r="B859" s="226"/>
      <c r="C859" s="216"/>
      <c r="D859" s="216"/>
      <c r="E859" s="216"/>
      <c r="F859" s="216"/>
      <c r="G859" s="217"/>
      <c r="H859" s="218"/>
      <c r="I859" s="218" t="s">
        <v>1517</v>
      </c>
      <c r="J859" s="218"/>
    </row>
    <row r="860" spans="1:10" ht="15.75" customHeight="1" x14ac:dyDescent="0.45">
      <c r="A860" s="226"/>
      <c r="B860" s="226"/>
      <c r="C860" s="216"/>
      <c r="D860" s="216"/>
      <c r="E860" s="216"/>
      <c r="F860" s="216"/>
      <c r="G860" s="217"/>
      <c r="H860" s="218"/>
      <c r="I860" s="218" t="s">
        <v>1517</v>
      </c>
      <c r="J860" s="218"/>
    </row>
    <row r="861" spans="1:10" ht="15.75" customHeight="1" x14ac:dyDescent="0.45">
      <c r="A861" s="226"/>
      <c r="B861" s="226"/>
      <c r="C861" s="216"/>
      <c r="D861" s="216"/>
      <c r="E861" s="216"/>
      <c r="F861" s="216"/>
      <c r="G861" s="217"/>
      <c r="H861" s="218"/>
      <c r="I861" s="218" t="s">
        <v>1517</v>
      </c>
      <c r="J861" s="218"/>
    </row>
    <row r="862" spans="1:10" ht="15.75" customHeight="1" x14ac:dyDescent="0.45">
      <c r="A862" s="226"/>
      <c r="B862" s="226"/>
      <c r="C862" s="216"/>
      <c r="D862" s="216"/>
      <c r="E862" s="216"/>
      <c r="F862" s="216"/>
      <c r="G862" s="217"/>
      <c r="H862" s="218"/>
      <c r="I862" s="218" t="s">
        <v>1517</v>
      </c>
      <c r="J862" s="218"/>
    </row>
    <row r="863" spans="1:10" ht="15.75" customHeight="1" x14ac:dyDescent="0.45">
      <c r="A863" s="226"/>
      <c r="B863" s="226"/>
      <c r="C863" s="216"/>
      <c r="D863" s="216"/>
      <c r="E863" s="216"/>
      <c r="F863" s="216"/>
      <c r="G863" s="217"/>
      <c r="H863" s="218"/>
      <c r="I863" s="218" t="s">
        <v>1517</v>
      </c>
      <c r="J863" s="218"/>
    </row>
    <row r="864" spans="1:10" ht="15.75" customHeight="1" x14ac:dyDescent="0.45">
      <c r="A864" s="226"/>
      <c r="B864" s="226"/>
      <c r="C864" s="216"/>
      <c r="D864" s="216"/>
      <c r="E864" s="216"/>
      <c r="F864" s="216"/>
      <c r="G864" s="217"/>
      <c r="H864" s="218"/>
      <c r="I864" s="218" t="s">
        <v>1517</v>
      </c>
      <c r="J864" s="218"/>
    </row>
    <row r="865" spans="1:10" ht="15.75" customHeight="1" x14ac:dyDescent="0.45">
      <c r="A865" s="226"/>
      <c r="B865" s="226"/>
      <c r="C865" s="216"/>
      <c r="D865" s="216"/>
      <c r="E865" s="216"/>
      <c r="F865" s="216"/>
      <c r="G865" s="217"/>
      <c r="H865" s="218"/>
      <c r="I865" s="218" t="s">
        <v>1517</v>
      </c>
      <c r="J865" s="218"/>
    </row>
    <row r="866" spans="1:10" ht="15.75" customHeight="1" x14ac:dyDescent="0.45">
      <c r="A866" s="226"/>
      <c r="B866" s="226"/>
      <c r="C866" s="216"/>
      <c r="D866" s="216"/>
      <c r="E866" s="216"/>
      <c r="F866" s="216"/>
      <c r="G866" s="217"/>
      <c r="H866" s="218"/>
      <c r="I866" s="218" t="s">
        <v>1517</v>
      </c>
      <c r="J866" s="218"/>
    </row>
    <row r="867" spans="1:10" ht="15.75" customHeight="1" x14ac:dyDescent="0.45">
      <c r="A867" s="226"/>
      <c r="B867" s="226"/>
      <c r="C867" s="216"/>
      <c r="D867" s="216"/>
      <c r="E867" s="216"/>
      <c r="F867" s="216"/>
      <c r="G867" s="217"/>
      <c r="H867" s="218"/>
      <c r="I867" s="218" t="s">
        <v>1517</v>
      </c>
      <c r="J867" s="218"/>
    </row>
    <row r="868" spans="1:10" ht="15.75" customHeight="1" x14ac:dyDescent="0.45">
      <c r="A868" s="226"/>
      <c r="B868" s="226"/>
      <c r="C868" s="216"/>
      <c r="D868" s="216"/>
      <c r="E868" s="216"/>
      <c r="F868" s="216"/>
      <c r="G868" s="217"/>
      <c r="H868" s="218"/>
      <c r="I868" s="218" t="s">
        <v>1517</v>
      </c>
      <c r="J868" s="218"/>
    </row>
    <row r="869" spans="1:10" ht="15.75" customHeight="1" x14ac:dyDescent="0.45">
      <c r="A869" s="226"/>
      <c r="B869" s="226"/>
      <c r="C869" s="216"/>
      <c r="D869" s="216"/>
      <c r="E869" s="216"/>
      <c r="F869" s="216"/>
      <c r="G869" s="217"/>
      <c r="H869" s="218"/>
      <c r="I869" s="218" t="s">
        <v>1517</v>
      </c>
      <c r="J869" s="218"/>
    </row>
    <row r="870" spans="1:10" ht="15.75" customHeight="1" x14ac:dyDescent="0.45">
      <c r="A870" s="226"/>
      <c r="B870" s="226"/>
      <c r="C870" s="216"/>
      <c r="D870" s="216"/>
      <c r="E870" s="216"/>
      <c r="F870" s="216"/>
      <c r="G870" s="217"/>
      <c r="H870" s="218"/>
      <c r="I870" s="218" t="s">
        <v>1517</v>
      </c>
      <c r="J870" s="218"/>
    </row>
    <row r="871" spans="1:10" ht="15.75" customHeight="1" x14ac:dyDescent="0.45">
      <c r="A871" s="226"/>
      <c r="B871" s="226"/>
      <c r="C871" s="216"/>
      <c r="D871" s="216"/>
      <c r="E871" s="216"/>
      <c r="F871" s="216"/>
      <c r="G871" s="217"/>
      <c r="H871" s="218"/>
      <c r="I871" s="218" t="s">
        <v>1517</v>
      </c>
      <c r="J871" s="218"/>
    </row>
    <row r="872" spans="1:10" ht="15.75" customHeight="1" x14ac:dyDescent="0.45">
      <c r="A872" s="226"/>
      <c r="B872" s="226"/>
      <c r="C872" s="216"/>
      <c r="D872" s="216"/>
      <c r="E872" s="216"/>
      <c r="F872" s="216"/>
      <c r="G872" s="217"/>
      <c r="H872" s="218"/>
      <c r="I872" s="218" t="s">
        <v>1517</v>
      </c>
      <c r="J872" s="218"/>
    </row>
    <row r="873" spans="1:10" ht="15.75" customHeight="1" x14ac:dyDescent="0.45">
      <c r="A873" s="226"/>
      <c r="B873" s="226"/>
      <c r="C873" s="216"/>
      <c r="D873" s="216"/>
      <c r="E873" s="216"/>
      <c r="F873" s="216"/>
      <c r="G873" s="217"/>
      <c r="H873" s="218"/>
      <c r="I873" s="218" t="s">
        <v>1517</v>
      </c>
      <c r="J873" s="218"/>
    </row>
    <row r="874" spans="1:10" ht="15.75" customHeight="1" x14ac:dyDescent="0.45">
      <c r="A874" s="226"/>
      <c r="B874" s="226"/>
      <c r="C874" s="216"/>
      <c r="D874" s="216"/>
      <c r="E874" s="216"/>
      <c r="F874" s="216"/>
      <c r="G874" s="217"/>
      <c r="H874" s="218"/>
      <c r="I874" s="218" t="s">
        <v>1517</v>
      </c>
      <c r="J874" s="218"/>
    </row>
    <row r="875" spans="1:10" ht="15.75" customHeight="1" x14ac:dyDescent="0.45">
      <c r="A875" s="226"/>
      <c r="B875" s="226"/>
      <c r="C875" s="216"/>
      <c r="D875" s="216"/>
      <c r="E875" s="216"/>
      <c r="F875" s="216"/>
      <c r="G875" s="217"/>
      <c r="H875" s="218"/>
      <c r="I875" s="218" t="s">
        <v>1517</v>
      </c>
      <c r="J875" s="218"/>
    </row>
    <row r="876" spans="1:10" ht="15.75" customHeight="1" x14ac:dyDescent="0.45">
      <c r="A876" s="226"/>
      <c r="B876" s="226"/>
      <c r="C876" s="216"/>
      <c r="D876" s="216"/>
      <c r="E876" s="216"/>
      <c r="F876" s="216"/>
      <c r="G876" s="217"/>
      <c r="H876" s="218"/>
      <c r="I876" s="218" t="s">
        <v>1517</v>
      </c>
      <c r="J876" s="218"/>
    </row>
    <row r="877" spans="1:10" ht="15.75" customHeight="1" x14ac:dyDescent="0.45">
      <c r="A877" s="226"/>
      <c r="B877" s="226"/>
      <c r="C877" s="216"/>
      <c r="D877" s="216"/>
      <c r="E877" s="216"/>
      <c r="F877" s="216"/>
      <c r="G877" s="217"/>
      <c r="H877" s="218"/>
      <c r="I877" s="218" t="s">
        <v>1517</v>
      </c>
      <c r="J877" s="218"/>
    </row>
    <row r="878" spans="1:10" ht="15.75" customHeight="1" x14ac:dyDescent="0.45">
      <c r="A878" s="226"/>
      <c r="B878" s="226"/>
      <c r="C878" s="216"/>
      <c r="D878" s="216"/>
      <c r="E878" s="216"/>
      <c r="F878" s="216"/>
      <c r="G878" s="217"/>
      <c r="H878" s="218"/>
      <c r="I878" s="218" t="s">
        <v>1517</v>
      </c>
      <c r="J878" s="218"/>
    </row>
    <row r="879" spans="1:10" ht="15.75" customHeight="1" x14ac:dyDescent="0.45">
      <c r="A879" s="226"/>
      <c r="B879" s="226"/>
      <c r="C879" s="216"/>
      <c r="D879" s="216"/>
      <c r="E879" s="216"/>
      <c r="F879" s="216"/>
      <c r="G879" s="217"/>
      <c r="H879" s="218"/>
      <c r="I879" s="218" t="s">
        <v>1517</v>
      </c>
      <c r="J879" s="218"/>
    </row>
    <row r="880" spans="1:10" ht="15.75" customHeight="1" x14ac:dyDescent="0.45">
      <c r="A880" s="226"/>
      <c r="B880" s="226"/>
      <c r="C880" s="216"/>
      <c r="D880" s="216"/>
      <c r="E880" s="216"/>
      <c r="F880" s="216"/>
      <c r="G880" s="217"/>
      <c r="H880" s="218"/>
      <c r="I880" s="218" t="s">
        <v>1517</v>
      </c>
      <c r="J880" s="218"/>
    </row>
    <row r="881" spans="1:10" ht="15.75" customHeight="1" x14ac:dyDescent="0.45">
      <c r="A881" s="226"/>
      <c r="B881" s="226"/>
      <c r="C881" s="216"/>
      <c r="D881" s="216"/>
      <c r="E881" s="216"/>
      <c r="F881" s="216"/>
      <c r="G881" s="217"/>
      <c r="H881" s="218"/>
      <c r="I881" s="218" t="s">
        <v>1517</v>
      </c>
      <c r="J881" s="218"/>
    </row>
    <row r="882" spans="1:10" ht="15.75" customHeight="1" x14ac:dyDescent="0.45">
      <c r="A882" s="226"/>
      <c r="B882" s="226"/>
      <c r="C882" s="216"/>
      <c r="D882" s="216"/>
      <c r="E882" s="216"/>
      <c r="F882" s="216"/>
      <c r="G882" s="217"/>
      <c r="H882" s="218"/>
      <c r="I882" s="218" t="s">
        <v>1517</v>
      </c>
      <c r="J882" s="218"/>
    </row>
    <row r="883" spans="1:10" ht="15.75" customHeight="1" x14ac:dyDescent="0.45">
      <c r="A883" s="226"/>
      <c r="B883" s="226"/>
      <c r="C883" s="216"/>
      <c r="D883" s="216"/>
      <c r="E883" s="216"/>
      <c r="F883" s="216"/>
      <c r="G883" s="217"/>
      <c r="H883" s="218"/>
      <c r="I883" s="218" t="s">
        <v>1517</v>
      </c>
      <c r="J883" s="218"/>
    </row>
    <row r="884" spans="1:10" ht="15.75" customHeight="1" x14ac:dyDescent="0.45">
      <c r="A884" s="226"/>
      <c r="B884" s="226"/>
      <c r="C884" s="216"/>
      <c r="D884" s="216"/>
      <c r="E884" s="216"/>
      <c r="F884" s="216"/>
      <c r="G884" s="217"/>
      <c r="H884" s="218"/>
      <c r="I884" s="218" t="s">
        <v>1517</v>
      </c>
      <c r="J884" s="218"/>
    </row>
    <row r="885" spans="1:10" ht="15.75" customHeight="1" x14ac:dyDescent="0.45">
      <c r="A885" s="226"/>
      <c r="B885" s="226"/>
      <c r="C885" s="216"/>
      <c r="D885" s="216"/>
      <c r="E885" s="216"/>
      <c r="F885" s="216"/>
      <c r="G885" s="217"/>
      <c r="H885" s="218"/>
      <c r="I885" s="218" t="s">
        <v>1517</v>
      </c>
      <c r="J885" s="218"/>
    </row>
    <row r="886" spans="1:10" ht="15.75" customHeight="1" x14ac:dyDescent="0.45">
      <c r="A886" s="226"/>
      <c r="B886" s="226"/>
      <c r="C886" s="216"/>
      <c r="D886" s="216"/>
      <c r="E886" s="216"/>
      <c r="F886" s="216"/>
      <c r="G886" s="217"/>
      <c r="H886" s="218"/>
      <c r="I886" s="218" t="s">
        <v>1517</v>
      </c>
      <c r="J886" s="218"/>
    </row>
    <row r="887" spans="1:10" ht="15.75" customHeight="1" x14ac:dyDescent="0.45">
      <c r="A887" s="226"/>
      <c r="B887" s="226"/>
      <c r="C887" s="216"/>
      <c r="D887" s="216"/>
      <c r="E887" s="216"/>
      <c r="F887" s="216"/>
      <c r="G887" s="217"/>
      <c r="H887" s="218"/>
      <c r="I887" s="218" t="s">
        <v>1517</v>
      </c>
      <c r="J887" s="218"/>
    </row>
    <row r="888" spans="1:10" ht="15.75" customHeight="1" x14ac:dyDescent="0.45">
      <c r="A888" s="226"/>
      <c r="B888" s="226"/>
      <c r="C888" s="216"/>
      <c r="D888" s="216"/>
      <c r="E888" s="216"/>
      <c r="F888" s="216"/>
      <c r="G888" s="217"/>
      <c r="H888" s="218"/>
      <c r="I888" s="218" t="s">
        <v>1517</v>
      </c>
      <c r="J888" s="218"/>
    </row>
    <row r="889" spans="1:10" ht="15.75" customHeight="1" x14ac:dyDescent="0.45">
      <c r="A889" s="226"/>
      <c r="B889" s="226"/>
      <c r="C889" s="216"/>
      <c r="D889" s="216"/>
      <c r="E889" s="216"/>
      <c r="F889" s="216"/>
      <c r="G889" s="217"/>
      <c r="H889" s="218"/>
      <c r="I889" s="218" t="s">
        <v>1517</v>
      </c>
      <c r="J889" s="218"/>
    </row>
    <row r="890" spans="1:10" ht="15.75" customHeight="1" x14ac:dyDescent="0.45">
      <c r="A890" s="226"/>
      <c r="B890" s="226"/>
      <c r="C890" s="216"/>
      <c r="D890" s="216"/>
      <c r="E890" s="216"/>
      <c r="F890" s="216"/>
      <c r="G890" s="217"/>
      <c r="H890" s="218"/>
      <c r="I890" s="218" t="s">
        <v>1517</v>
      </c>
      <c r="J890" s="218"/>
    </row>
    <row r="891" spans="1:10" ht="15.75" customHeight="1" x14ac:dyDescent="0.45">
      <c r="A891" s="226"/>
      <c r="B891" s="226"/>
      <c r="C891" s="216"/>
      <c r="D891" s="216"/>
      <c r="E891" s="216"/>
      <c r="F891" s="216"/>
      <c r="G891" s="217"/>
      <c r="H891" s="218"/>
      <c r="I891" s="218" t="s">
        <v>1517</v>
      </c>
      <c r="J891" s="218"/>
    </row>
    <row r="892" spans="1:10" ht="15.75" customHeight="1" x14ac:dyDescent="0.45">
      <c r="A892" s="226"/>
      <c r="B892" s="226"/>
      <c r="C892" s="216"/>
      <c r="D892" s="216"/>
      <c r="E892" s="216"/>
      <c r="F892" s="216"/>
      <c r="G892" s="217"/>
      <c r="H892" s="218"/>
      <c r="I892" s="218" t="s">
        <v>1517</v>
      </c>
      <c r="J892" s="218"/>
    </row>
    <row r="893" spans="1:10" ht="15.75" customHeight="1" x14ac:dyDescent="0.45">
      <c r="A893" s="226"/>
      <c r="B893" s="226"/>
      <c r="C893" s="216"/>
      <c r="D893" s="216"/>
      <c r="E893" s="216"/>
      <c r="F893" s="216"/>
      <c r="G893" s="217"/>
      <c r="H893" s="218"/>
      <c r="I893" s="218" t="s">
        <v>1517</v>
      </c>
      <c r="J893" s="218"/>
    </row>
    <row r="894" spans="1:10" ht="15.75" customHeight="1" x14ac:dyDescent="0.45">
      <c r="A894" s="226"/>
      <c r="B894" s="226"/>
      <c r="C894" s="216"/>
      <c r="D894" s="216"/>
      <c r="E894" s="216"/>
      <c r="F894" s="216"/>
      <c r="G894" s="217"/>
      <c r="H894" s="218"/>
      <c r="I894" s="218" t="s">
        <v>1517</v>
      </c>
      <c r="J894" s="218"/>
    </row>
    <row r="895" spans="1:10" ht="15.75" customHeight="1" x14ac:dyDescent="0.45">
      <c r="A895" s="226"/>
      <c r="B895" s="226"/>
      <c r="C895" s="216"/>
      <c r="D895" s="216"/>
      <c r="E895" s="216"/>
      <c r="F895" s="216"/>
      <c r="G895" s="217"/>
      <c r="H895" s="218"/>
      <c r="I895" s="218" t="s">
        <v>1517</v>
      </c>
      <c r="J895" s="218"/>
    </row>
    <row r="896" spans="1:10" ht="15.75" customHeight="1" x14ac:dyDescent="0.45">
      <c r="A896" s="226"/>
      <c r="B896" s="226"/>
      <c r="C896" s="216"/>
      <c r="D896" s="216"/>
      <c r="E896" s="216"/>
      <c r="F896" s="216"/>
      <c r="G896" s="217"/>
      <c r="H896" s="218"/>
      <c r="I896" s="218" t="s">
        <v>1517</v>
      </c>
      <c r="J896" s="218"/>
    </row>
    <row r="897" spans="1:10" ht="15.75" customHeight="1" x14ac:dyDescent="0.45">
      <c r="A897" s="226"/>
      <c r="B897" s="226"/>
      <c r="C897" s="216"/>
      <c r="D897" s="216"/>
      <c r="E897" s="216"/>
      <c r="F897" s="216"/>
      <c r="G897" s="217"/>
      <c r="H897" s="218"/>
      <c r="I897" s="218" t="s">
        <v>1517</v>
      </c>
      <c r="J897" s="218"/>
    </row>
    <row r="898" spans="1:10" ht="15.75" customHeight="1" x14ac:dyDescent="0.45">
      <c r="A898" s="226"/>
      <c r="B898" s="226"/>
      <c r="C898" s="216"/>
      <c r="D898" s="216"/>
      <c r="E898" s="216"/>
      <c r="F898" s="216"/>
      <c r="G898" s="217"/>
      <c r="H898" s="218"/>
      <c r="I898" s="218" t="s">
        <v>1517</v>
      </c>
      <c r="J898" s="218"/>
    </row>
    <row r="899" spans="1:10" ht="15.75" customHeight="1" x14ac:dyDescent="0.45">
      <c r="A899" s="226"/>
      <c r="B899" s="226"/>
      <c r="C899" s="216"/>
      <c r="D899" s="216"/>
      <c r="E899" s="216"/>
      <c r="F899" s="216"/>
      <c r="G899" s="217"/>
      <c r="H899" s="218"/>
      <c r="I899" s="218" t="s">
        <v>1517</v>
      </c>
      <c r="J899" s="218"/>
    </row>
    <row r="900" spans="1:10" ht="15.75" customHeight="1" x14ac:dyDescent="0.45">
      <c r="A900" s="226"/>
      <c r="B900" s="226"/>
      <c r="C900" s="216"/>
      <c r="D900" s="216"/>
      <c r="E900" s="216"/>
      <c r="F900" s="216"/>
      <c r="G900" s="217"/>
      <c r="H900" s="218"/>
      <c r="I900" s="218" t="s">
        <v>1517</v>
      </c>
      <c r="J900" s="218"/>
    </row>
    <row r="901" spans="1:10" ht="15.75" customHeight="1" x14ac:dyDescent="0.45">
      <c r="A901" s="226"/>
      <c r="B901" s="226"/>
      <c r="C901" s="216"/>
      <c r="D901" s="216"/>
      <c r="E901" s="216"/>
      <c r="F901" s="216"/>
      <c r="G901" s="217"/>
      <c r="H901" s="218"/>
      <c r="I901" s="218" t="s">
        <v>1517</v>
      </c>
      <c r="J901" s="218"/>
    </row>
    <row r="902" spans="1:10" ht="15.75" customHeight="1" x14ac:dyDescent="0.45">
      <c r="A902" s="226"/>
      <c r="B902" s="226"/>
      <c r="C902" s="216"/>
      <c r="D902" s="216"/>
      <c r="E902" s="216"/>
      <c r="F902" s="216"/>
      <c r="G902" s="217"/>
      <c r="H902" s="218"/>
      <c r="I902" s="218" t="s">
        <v>1517</v>
      </c>
      <c r="J902" s="218"/>
    </row>
    <row r="903" spans="1:10" ht="15.75" customHeight="1" x14ac:dyDescent="0.45">
      <c r="A903" s="226"/>
      <c r="B903" s="226"/>
      <c r="C903" s="216"/>
      <c r="D903" s="216"/>
      <c r="E903" s="216"/>
      <c r="F903" s="216"/>
      <c r="G903" s="217"/>
      <c r="H903" s="218"/>
      <c r="I903" s="218" t="s">
        <v>1517</v>
      </c>
      <c r="J903" s="218"/>
    </row>
    <row r="904" spans="1:10" ht="15.75" customHeight="1" x14ac:dyDescent="0.45">
      <c r="A904" s="226"/>
      <c r="B904" s="226"/>
      <c r="C904" s="216"/>
      <c r="D904" s="216"/>
      <c r="E904" s="216"/>
      <c r="F904" s="216"/>
      <c r="G904" s="217"/>
      <c r="H904" s="218"/>
      <c r="I904" s="218" t="s">
        <v>1517</v>
      </c>
      <c r="J904" s="218"/>
    </row>
    <row r="905" spans="1:10" ht="15.75" customHeight="1" x14ac:dyDescent="0.45">
      <c r="A905" s="226"/>
      <c r="B905" s="226"/>
      <c r="C905" s="216"/>
      <c r="D905" s="216"/>
      <c r="E905" s="216"/>
      <c r="F905" s="216"/>
      <c r="G905" s="217"/>
      <c r="H905" s="218"/>
      <c r="I905" s="218" t="s">
        <v>1517</v>
      </c>
      <c r="J905" s="218"/>
    </row>
    <row r="906" spans="1:10" ht="15.75" customHeight="1" x14ac:dyDescent="0.45">
      <c r="A906" s="226"/>
      <c r="B906" s="226"/>
      <c r="C906" s="216"/>
      <c r="D906" s="216"/>
      <c r="E906" s="216"/>
      <c r="F906" s="216"/>
      <c r="G906" s="217"/>
      <c r="H906" s="218"/>
      <c r="I906" s="218" t="s">
        <v>1517</v>
      </c>
      <c r="J906" s="218"/>
    </row>
    <row r="907" spans="1:10" ht="15.75" customHeight="1" x14ac:dyDescent="0.45">
      <c r="A907" s="226"/>
      <c r="B907" s="226"/>
      <c r="C907" s="216"/>
      <c r="D907" s="216"/>
      <c r="E907" s="216"/>
      <c r="F907" s="216"/>
      <c r="G907" s="217"/>
      <c r="H907" s="218"/>
      <c r="I907" s="218" t="s">
        <v>1517</v>
      </c>
      <c r="J907" s="218"/>
    </row>
    <row r="908" spans="1:10" ht="15.75" customHeight="1" x14ac:dyDescent="0.45">
      <c r="A908" s="226"/>
      <c r="B908" s="226"/>
      <c r="C908" s="216"/>
      <c r="D908" s="216"/>
      <c r="E908" s="216"/>
      <c r="F908" s="216"/>
      <c r="G908" s="217"/>
      <c r="H908" s="218"/>
      <c r="I908" s="218" t="s">
        <v>1517</v>
      </c>
      <c r="J908" s="218"/>
    </row>
    <row r="909" spans="1:10" ht="15.75" customHeight="1" x14ac:dyDescent="0.45">
      <c r="A909" s="226"/>
      <c r="B909" s="226"/>
      <c r="C909" s="216"/>
      <c r="D909" s="216"/>
      <c r="E909" s="216"/>
      <c r="F909" s="216"/>
      <c r="G909" s="217"/>
      <c r="H909" s="218"/>
      <c r="I909" s="218" t="s">
        <v>1517</v>
      </c>
      <c r="J909" s="218"/>
    </row>
    <row r="910" spans="1:10" ht="15.75" customHeight="1" x14ac:dyDescent="0.45">
      <c r="A910" s="226"/>
      <c r="B910" s="226"/>
      <c r="C910" s="216"/>
      <c r="D910" s="216"/>
      <c r="E910" s="216"/>
      <c r="F910" s="216"/>
      <c r="G910" s="217"/>
      <c r="H910" s="218"/>
      <c r="I910" s="218" t="s">
        <v>1517</v>
      </c>
      <c r="J910" s="218"/>
    </row>
    <row r="911" spans="1:10" ht="15.75" customHeight="1" x14ac:dyDescent="0.45">
      <c r="A911" s="226"/>
      <c r="B911" s="226"/>
      <c r="C911" s="216"/>
      <c r="D911" s="216"/>
      <c r="E911" s="216"/>
      <c r="F911" s="216"/>
      <c r="G911" s="217"/>
      <c r="H911" s="218"/>
      <c r="I911" s="218" t="s">
        <v>1517</v>
      </c>
      <c r="J911" s="218"/>
    </row>
    <row r="912" spans="1:10" ht="15.75" customHeight="1" x14ac:dyDescent="0.45">
      <c r="A912" s="226"/>
      <c r="B912" s="226"/>
      <c r="C912" s="216"/>
      <c r="D912" s="216"/>
      <c r="E912" s="216"/>
      <c r="F912" s="216"/>
      <c r="G912" s="217"/>
      <c r="H912" s="218"/>
      <c r="I912" s="218" t="s">
        <v>1517</v>
      </c>
      <c r="J912" s="218"/>
    </row>
    <row r="913" spans="1:10" ht="15.75" customHeight="1" x14ac:dyDescent="0.45">
      <c r="A913" s="226"/>
      <c r="B913" s="226"/>
      <c r="C913" s="216"/>
      <c r="D913" s="216"/>
      <c r="E913" s="216"/>
      <c r="F913" s="216"/>
      <c r="G913" s="217"/>
      <c r="H913" s="218"/>
      <c r="I913" s="218" t="s">
        <v>1517</v>
      </c>
      <c r="J913" s="218"/>
    </row>
    <row r="914" spans="1:10" ht="15.75" customHeight="1" x14ac:dyDescent="0.45">
      <c r="A914" s="226"/>
      <c r="B914" s="226"/>
      <c r="C914" s="216"/>
      <c r="D914" s="216"/>
      <c r="E914" s="216"/>
      <c r="F914" s="216"/>
      <c r="G914" s="217"/>
      <c r="H914" s="218"/>
      <c r="I914" s="218" t="s">
        <v>1517</v>
      </c>
      <c r="J914" s="218"/>
    </row>
    <row r="915" spans="1:10" ht="15.75" customHeight="1" x14ac:dyDescent="0.45">
      <c r="A915" s="226"/>
      <c r="B915" s="226"/>
      <c r="C915" s="216"/>
      <c r="D915" s="216"/>
      <c r="E915" s="216"/>
      <c r="F915" s="216"/>
      <c r="G915" s="217"/>
      <c r="H915" s="218"/>
      <c r="I915" s="218" t="s">
        <v>1517</v>
      </c>
      <c r="J915" s="218"/>
    </row>
    <row r="916" spans="1:10" ht="15.75" customHeight="1" x14ac:dyDescent="0.45">
      <c r="A916" s="226"/>
      <c r="B916" s="226"/>
      <c r="C916" s="216"/>
      <c r="D916" s="216"/>
      <c r="E916" s="216"/>
      <c r="F916" s="216"/>
      <c r="G916" s="217"/>
      <c r="H916" s="218"/>
      <c r="I916" s="218" t="s">
        <v>1517</v>
      </c>
      <c r="J916" s="218"/>
    </row>
    <row r="917" spans="1:10" ht="15.75" customHeight="1" x14ac:dyDescent="0.45">
      <c r="A917" s="226"/>
      <c r="B917" s="226"/>
      <c r="C917" s="216"/>
      <c r="D917" s="216"/>
      <c r="E917" s="216"/>
      <c r="F917" s="216"/>
      <c r="G917" s="217"/>
      <c r="H917" s="218"/>
      <c r="I917" s="218" t="s">
        <v>1517</v>
      </c>
      <c r="J917" s="218"/>
    </row>
    <row r="918" spans="1:10" ht="15.75" customHeight="1" x14ac:dyDescent="0.45">
      <c r="A918" s="226"/>
      <c r="B918" s="226"/>
      <c r="C918" s="216"/>
      <c r="D918" s="216"/>
      <c r="E918" s="216"/>
      <c r="F918" s="216"/>
      <c r="G918" s="217"/>
      <c r="H918" s="218"/>
      <c r="I918" s="218" t="s">
        <v>1517</v>
      </c>
      <c r="J918" s="218"/>
    </row>
    <row r="919" spans="1:10" ht="15.75" customHeight="1" x14ac:dyDescent="0.45">
      <c r="A919" s="226"/>
      <c r="B919" s="226"/>
      <c r="C919" s="216"/>
      <c r="D919" s="216"/>
      <c r="E919" s="216"/>
      <c r="F919" s="216"/>
      <c r="G919" s="217"/>
      <c r="H919" s="218"/>
      <c r="I919" s="218" t="s">
        <v>1517</v>
      </c>
      <c r="J919" s="218"/>
    </row>
    <row r="920" spans="1:10" ht="15.75" customHeight="1" x14ac:dyDescent="0.45">
      <c r="A920" s="226"/>
      <c r="B920" s="226"/>
      <c r="C920" s="216"/>
      <c r="D920" s="216"/>
      <c r="E920" s="216"/>
      <c r="F920" s="216"/>
      <c r="G920" s="217"/>
      <c r="H920" s="218"/>
      <c r="I920" s="218" t="s">
        <v>1517</v>
      </c>
      <c r="J920" s="218"/>
    </row>
    <row r="921" spans="1:10" ht="15.75" customHeight="1" x14ac:dyDescent="0.45">
      <c r="A921" s="226"/>
      <c r="B921" s="226"/>
      <c r="C921" s="216"/>
      <c r="D921" s="216"/>
      <c r="E921" s="216"/>
      <c r="F921" s="216"/>
      <c r="G921" s="217"/>
      <c r="H921" s="218"/>
      <c r="I921" s="218" t="s">
        <v>1517</v>
      </c>
      <c r="J921" s="218"/>
    </row>
    <row r="922" spans="1:10" ht="15.75" customHeight="1" x14ac:dyDescent="0.45">
      <c r="A922" s="226"/>
      <c r="B922" s="226"/>
      <c r="C922" s="216"/>
      <c r="D922" s="216"/>
      <c r="E922" s="216"/>
      <c r="F922" s="216"/>
      <c r="G922" s="217"/>
      <c r="H922" s="218"/>
      <c r="I922" s="218" t="s">
        <v>1517</v>
      </c>
      <c r="J922" s="218"/>
    </row>
    <row r="923" spans="1:10" ht="15.75" customHeight="1" x14ac:dyDescent="0.45">
      <c r="A923" s="226"/>
      <c r="B923" s="226"/>
      <c r="C923" s="216"/>
      <c r="D923" s="216"/>
      <c r="E923" s="216"/>
      <c r="F923" s="216"/>
      <c r="G923" s="217"/>
      <c r="H923" s="218"/>
      <c r="I923" s="218" t="s">
        <v>1517</v>
      </c>
      <c r="J923" s="218"/>
    </row>
    <row r="924" spans="1:10" ht="15.75" customHeight="1" x14ac:dyDescent="0.45">
      <c r="A924" s="226"/>
      <c r="B924" s="226"/>
      <c r="C924" s="216"/>
      <c r="D924" s="216"/>
      <c r="E924" s="216"/>
      <c r="F924" s="216"/>
      <c r="G924" s="217"/>
      <c r="H924" s="218"/>
      <c r="I924" s="218" t="s">
        <v>1517</v>
      </c>
      <c r="J924" s="218"/>
    </row>
    <row r="925" spans="1:10" ht="15.75" customHeight="1" x14ac:dyDescent="0.45">
      <c r="A925" s="226"/>
      <c r="B925" s="226"/>
      <c r="C925" s="216"/>
      <c r="D925" s="216"/>
      <c r="E925" s="216"/>
      <c r="F925" s="216"/>
      <c r="G925" s="217"/>
      <c r="H925" s="218"/>
      <c r="I925" s="218" t="s">
        <v>1517</v>
      </c>
      <c r="J925" s="218"/>
    </row>
    <row r="926" spans="1:10" ht="15.75" customHeight="1" x14ac:dyDescent="0.45">
      <c r="A926" s="226"/>
      <c r="B926" s="226"/>
      <c r="C926" s="216"/>
      <c r="D926" s="216"/>
      <c r="E926" s="216"/>
      <c r="F926" s="216"/>
      <c r="G926" s="217"/>
      <c r="H926" s="218"/>
      <c r="I926" s="218" t="s">
        <v>1517</v>
      </c>
      <c r="J926" s="218"/>
    </row>
    <row r="927" spans="1:10" ht="15.75" customHeight="1" x14ac:dyDescent="0.45">
      <c r="A927" s="226"/>
      <c r="B927" s="226"/>
      <c r="C927" s="216"/>
      <c r="D927" s="216"/>
      <c r="E927" s="216"/>
      <c r="F927" s="216"/>
      <c r="G927" s="217"/>
      <c r="H927" s="218"/>
      <c r="I927" s="218" t="s">
        <v>1517</v>
      </c>
      <c r="J927" s="218"/>
    </row>
    <row r="928" spans="1:10" ht="15.75" customHeight="1" x14ac:dyDescent="0.45">
      <c r="A928" s="226"/>
      <c r="B928" s="226"/>
      <c r="C928" s="216"/>
      <c r="D928" s="216"/>
      <c r="E928" s="216"/>
      <c r="F928" s="216"/>
      <c r="G928" s="217"/>
      <c r="H928" s="218"/>
      <c r="I928" s="218" t="s">
        <v>1517</v>
      </c>
      <c r="J928" s="218"/>
    </row>
    <row r="929" spans="1:10" ht="15.75" customHeight="1" x14ac:dyDescent="0.45">
      <c r="A929" s="226"/>
      <c r="B929" s="226"/>
      <c r="C929" s="216"/>
      <c r="D929" s="216"/>
      <c r="E929" s="216"/>
      <c r="F929" s="216"/>
      <c r="G929" s="217"/>
      <c r="H929" s="218"/>
      <c r="I929" s="218" t="s">
        <v>1517</v>
      </c>
      <c r="J929" s="218"/>
    </row>
    <row r="930" spans="1:10" ht="15.75" customHeight="1" x14ac:dyDescent="0.45">
      <c r="A930" s="226"/>
      <c r="B930" s="226"/>
      <c r="C930" s="216"/>
      <c r="D930" s="216"/>
      <c r="E930" s="216"/>
      <c r="F930" s="216"/>
      <c r="G930" s="217"/>
      <c r="H930" s="218"/>
      <c r="I930" s="218" t="s">
        <v>1517</v>
      </c>
      <c r="J930" s="218"/>
    </row>
    <row r="931" spans="1:10" ht="15.75" customHeight="1" x14ac:dyDescent="0.45">
      <c r="A931" s="226"/>
      <c r="B931" s="226"/>
      <c r="C931" s="216"/>
      <c r="D931" s="216"/>
      <c r="E931" s="216"/>
      <c r="F931" s="216"/>
      <c r="G931" s="217"/>
      <c r="H931" s="218"/>
      <c r="I931" s="218" t="s">
        <v>1517</v>
      </c>
      <c r="J931" s="218"/>
    </row>
    <row r="932" spans="1:10" ht="15.75" customHeight="1" x14ac:dyDescent="0.45">
      <c r="A932" s="226"/>
      <c r="B932" s="226"/>
      <c r="C932" s="216"/>
      <c r="D932" s="216"/>
      <c r="E932" s="216"/>
      <c r="F932" s="216"/>
      <c r="G932" s="217"/>
      <c r="H932" s="218"/>
      <c r="I932" s="218" t="s">
        <v>1517</v>
      </c>
      <c r="J932" s="218"/>
    </row>
    <row r="933" spans="1:10" ht="15.75" customHeight="1" x14ac:dyDescent="0.45">
      <c r="A933" s="226"/>
      <c r="B933" s="226"/>
      <c r="C933" s="216"/>
      <c r="D933" s="216"/>
      <c r="E933" s="216"/>
      <c r="F933" s="216"/>
      <c r="G933" s="217"/>
      <c r="H933" s="218"/>
      <c r="I933" s="218" t="s">
        <v>1517</v>
      </c>
      <c r="J933" s="218"/>
    </row>
    <row r="934" spans="1:10" ht="15.75" customHeight="1" x14ac:dyDescent="0.45">
      <c r="A934" s="226"/>
      <c r="B934" s="226"/>
      <c r="C934" s="216"/>
      <c r="D934" s="216"/>
      <c r="E934" s="216"/>
      <c r="F934" s="216"/>
      <c r="G934" s="217"/>
      <c r="H934" s="218"/>
      <c r="I934" s="218" t="s">
        <v>1517</v>
      </c>
      <c r="J934" s="218"/>
    </row>
    <row r="935" spans="1:10" ht="15.75" customHeight="1" x14ac:dyDescent="0.45">
      <c r="A935" s="226"/>
      <c r="B935" s="226"/>
      <c r="C935" s="216"/>
      <c r="D935" s="216"/>
      <c r="E935" s="216"/>
      <c r="F935" s="216"/>
      <c r="G935" s="217"/>
      <c r="H935" s="218"/>
      <c r="I935" s="218" t="s">
        <v>1517</v>
      </c>
      <c r="J935" s="218"/>
    </row>
    <row r="936" spans="1:10" ht="15.75" customHeight="1" x14ac:dyDescent="0.45">
      <c r="A936" s="226"/>
      <c r="B936" s="226"/>
      <c r="C936" s="216"/>
      <c r="D936" s="216"/>
      <c r="E936" s="216"/>
      <c r="F936" s="216"/>
      <c r="G936" s="217"/>
      <c r="H936" s="218"/>
      <c r="I936" s="218" t="s">
        <v>1517</v>
      </c>
      <c r="J936" s="218"/>
    </row>
    <row r="937" spans="1:10" ht="15.75" customHeight="1" x14ac:dyDescent="0.45">
      <c r="A937" s="226"/>
      <c r="B937" s="226"/>
      <c r="C937" s="216"/>
      <c r="D937" s="216"/>
      <c r="E937" s="216"/>
      <c r="F937" s="216"/>
      <c r="G937" s="217"/>
      <c r="H937" s="218"/>
      <c r="I937" s="218" t="s">
        <v>1517</v>
      </c>
      <c r="J937" s="218"/>
    </row>
    <row r="938" spans="1:10" ht="15.75" customHeight="1" x14ac:dyDescent="0.45">
      <c r="A938" s="226"/>
      <c r="B938" s="226"/>
      <c r="C938" s="216"/>
      <c r="D938" s="216"/>
      <c r="E938" s="216"/>
      <c r="F938" s="216"/>
      <c r="G938" s="217"/>
      <c r="H938" s="218"/>
      <c r="I938" s="218" t="s">
        <v>1517</v>
      </c>
      <c r="J938" s="218"/>
    </row>
    <row r="939" spans="1:10" ht="15.75" customHeight="1" x14ac:dyDescent="0.45">
      <c r="A939" s="226"/>
      <c r="B939" s="226"/>
      <c r="C939" s="216"/>
      <c r="D939" s="216"/>
      <c r="E939" s="216"/>
      <c r="F939" s="216"/>
      <c r="G939" s="217"/>
      <c r="H939" s="218"/>
      <c r="I939" s="218" t="s">
        <v>1517</v>
      </c>
      <c r="J939" s="218"/>
    </row>
    <row r="940" spans="1:10" ht="15.75" customHeight="1" x14ac:dyDescent="0.45">
      <c r="A940" s="226"/>
      <c r="B940" s="226"/>
      <c r="C940" s="216"/>
      <c r="D940" s="216"/>
      <c r="E940" s="216"/>
      <c r="F940" s="216"/>
      <c r="G940" s="217"/>
      <c r="H940" s="218"/>
      <c r="I940" s="218" t="s">
        <v>1517</v>
      </c>
      <c r="J940" s="218"/>
    </row>
    <row r="941" spans="1:10" ht="15.75" customHeight="1" x14ac:dyDescent="0.45">
      <c r="A941" s="226"/>
      <c r="B941" s="226"/>
      <c r="C941" s="216"/>
      <c r="D941" s="216"/>
      <c r="E941" s="216"/>
      <c r="F941" s="216"/>
      <c r="G941" s="217"/>
      <c r="H941" s="218"/>
      <c r="I941" s="218" t="s">
        <v>1517</v>
      </c>
      <c r="J941" s="218"/>
    </row>
    <row r="942" spans="1:10" ht="15.75" customHeight="1" x14ac:dyDescent="0.45">
      <c r="A942" s="226"/>
      <c r="B942" s="226"/>
      <c r="C942" s="216"/>
      <c r="D942" s="216"/>
      <c r="E942" s="216"/>
      <c r="F942" s="216"/>
      <c r="G942" s="217"/>
      <c r="H942" s="218"/>
      <c r="I942" s="218" t="s">
        <v>1517</v>
      </c>
      <c r="J942" s="218"/>
    </row>
    <row r="943" spans="1:10" ht="15.75" customHeight="1" x14ac:dyDescent="0.45">
      <c r="A943" s="226"/>
      <c r="B943" s="226"/>
      <c r="C943" s="216"/>
      <c r="D943" s="216"/>
      <c r="E943" s="216"/>
      <c r="F943" s="216"/>
      <c r="G943" s="217"/>
      <c r="H943" s="218"/>
      <c r="I943" s="218" t="s">
        <v>1517</v>
      </c>
      <c r="J943" s="218"/>
    </row>
    <row r="944" spans="1:10" ht="15.75" customHeight="1" x14ac:dyDescent="0.45">
      <c r="A944" s="226"/>
      <c r="B944" s="226"/>
      <c r="C944" s="216"/>
      <c r="D944" s="216"/>
      <c r="E944" s="216"/>
      <c r="F944" s="216"/>
      <c r="G944" s="217"/>
      <c r="H944" s="218"/>
      <c r="I944" s="218" t="s">
        <v>1517</v>
      </c>
      <c r="J944" s="218"/>
    </row>
    <row r="945" spans="1:10" ht="15.75" customHeight="1" x14ac:dyDescent="0.45">
      <c r="A945" s="226"/>
      <c r="B945" s="226"/>
      <c r="C945" s="216"/>
      <c r="D945" s="216"/>
      <c r="E945" s="216"/>
      <c r="F945" s="216"/>
      <c r="G945" s="217"/>
      <c r="H945" s="218"/>
      <c r="I945" s="218" t="s">
        <v>1517</v>
      </c>
      <c r="J945" s="218"/>
    </row>
    <row r="946" spans="1:10" ht="15.75" customHeight="1" x14ac:dyDescent="0.45">
      <c r="A946" s="226"/>
      <c r="B946" s="226"/>
      <c r="C946" s="216"/>
      <c r="D946" s="216"/>
      <c r="E946" s="216"/>
      <c r="F946" s="216"/>
      <c r="G946" s="217"/>
      <c r="H946" s="218"/>
      <c r="I946" s="218" t="s">
        <v>1517</v>
      </c>
      <c r="J946" s="218"/>
    </row>
    <row r="947" spans="1:10" ht="15.75" customHeight="1" x14ac:dyDescent="0.45">
      <c r="A947" s="226"/>
      <c r="B947" s="226"/>
      <c r="C947" s="216"/>
      <c r="D947" s="216"/>
      <c r="E947" s="216"/>
      <c r="F947" s="216"/>
      <c r="G947" s="217"/>
      <c r="H947" s="218"/>
      <c r="I947" s="218" t="s">
        <v>1517</v>
      </c>
      <c r="J947" s="218"/>
    </row>
    <row r="948" spans="1:10" ht="15.75" customHeight="1" x14ac:dyDescent="0.45">
      <c r="A948" s="226"/>
      <c r="B948" s="226"/>
      <c r="C948" s="216"/>
      <c r="D948" s="216"/>
      <c r="E948" s="216"/>
      <c r="F948" s="216"/>
      <c r="G948" s="217"/>
      <c r="H948" s="218"/>
      <c r="I948" s="218" t="s">
        <v>1517</v>
      </c>
      <c r="J948" s="218"/>
    </row>
    <row r="949" spans="1:10" ht="15.75" customHeight="1" x14ac:dyDescent="0.45">
      <c r="A949" s="226"/>
      <c r="B949" s="226"/>
      <c r="C949" s="216"/>
      <c r="D949" s="216"/>
      <c r="E949" s="216"/>
      <c r="F949" s="216"/>
      <c r="G949" s="217"/>
      <c r="H949" s="218"/>
      <c r="I949" s="218" t="s">
        <v>1517</v>
      </c>
      <c r="J949" s="218"/>
    </row>
    <row r="950" spans="1:10" ht="15.75" customHeight="1" x14ac:dyDescent="0.45">
      <c r="A950" s="226"/>
      <c r="B950" s="226"/>
      <c r="C950" s="216"/>
      <c r="D950" s="216"/>
      <c r="E950" s="216"/>
      <c r="F950" s="216"/>
      <c r="G950" s="217"/>
      <c r="H950" s="218"/>
      <c r="I950" s="218" t="s">
        <v>1517</v>
      </c>
      <c r="J950" s="218"/>
    </row>
    <row r="951" spans="1:10" ht="15.75" customHeight="1" x14ac:dyDescent="0.45">
      <c r="A951" s="226"/>
      <c r="B951" s="226"/>
      <c r="C951" s="216"/>
      <c r="D951" s="216"/>
      <c r="E951" s="216"/>
      <c r="F951" s="216"/>
      <c r="G951" s="217"/>
      <c r="H951" s="218"/>
      <c r="I951" s="218" t="s">
        <v>1517</v>
      </c>
      <c r="J951" s="218"/>
    </row>
    <row r="952" spans="1:10" ht="15.75" customHeight="1" x14ac:dyDescent="0.45">
      <c r="A952" s="226"/>
      <c r="B952" s="226"/>
      <c r="C952" s="216"/>
      <c r="D952" s="216"/>
      <c r="E952" s="216"/>
      <c r="F952" s="216"/>
      <c r="G952" s="217"/>
      <c r="H952" s="218"/>
      <c r="I952" s="218" t="s">
        <v>1517</v>
      </c>
      <c r="J952" s="218"/>
    </row>
    <row r="953" spans="1:10" ht="15.75" customHeight="1" x14ac:dyDescent="0.45">
      <c r="A953" s="226"/>
      <c r="B953" s="226"/>
      <c r="C953" s="216"/>
      <c r="D953" s="216"/>
      <c r="E953" s="216"/>
      <c r="F953" s="216"/>
      <c r="G953" s="217"/>
      <c r="H953" s="218"/>
      <c r="I953" s="218" t="s">
        <v>1517</v>
      </c>
      <c r="J953" s="218"/>
    </row>
    <row r="954" spans="1:10" ht="15.75" customHeight="1" x14ac:dyDescent="0.45">
      <c r="A954" s="226"/>
      <c r="B954" s="226"/>
      <c r="C954" s="216"/>
      <c r="D954" s="216"/>
      <c r="E954" s="216"/>
      <c r="F954" s="216"/>
      <c r="G954" s="217"/>
      <c r="H954" s="218"/>
      <c r="I954" s="218" t="s">
        <v>1517</v>
      </c>
      <c r="J954" s="218"/>
    </row>
    <row r="955" spans="1:10" ht="15.75" customHeight="1" x14ac:dyDescent="0.45">
      <c r="A955" s="226"/>
      <c r="B955" s="226"/>
      <c r="C955" s="216"/>
      <c r="D955" s="216"/>
      <c r="E955" s="216"/>
      <c r="F955" s="216"/>
      <c r="G955" s="217"/>
      <c r="H955" s="218"/>
      <c r="I955" s="218" t="s">
        <v>1517</v>
      </c>
      <c r="J955" s="218"/>
    </row>
    <row r="956" spans="1:10" ht="15.75" customHeight="1" x14ac:dyDescent="0.45">
      <c r="A956" s="226"/>
      <c r="B956" s="226"/>
      <c r="C956" s="216"/>
      <c r="D956" s="216"/>
      <c r="E956" s="216"/>
      <c r="F956" s="216"/>
      <c r="G956" s="217"/>
      <c r="H956" s="218"/>
      <c r="I956" s="218" t="s">
        <v>1517</v>
      </c>
      <c r="J956" s="218"/>
    </row>
    <row r="957" spans="1:10" ht="15.75" customHeight="1" x14ac:dyDescent="0.45">
      <c r="A957" s="226"/>
      <c r="B957" s="226"/>
      <c r="C957" s="216"/>
      <c r="D957" s="216"/>
      <c r="E957" s="216"/>
      <c r="F957" s="216"/>
      <c r="G957" s="217"/>
      <c r="H957" s="218"/>
      <c r="I957" s="218" t="s">
        <v>1517</v>
      </c>
      <c r="J957" s="218"/>
    </row>
    <row r="958" spans="1:10" ht="15.75" customHeight="1" x14ac:dyDescent="0.45">
      <c r="A958" s="226"/>
      <c r="B958" s="226"/>
      <c r="C958" s="216"/>
      <c r="D958" s="216"/>
      <c r="E958" s="216"/>
      <c r="F958" s="216"/>
      <c r="G958" s="217"/>
      <c r="H958" s="218"/>
      <c r="I958" s="218" t="s">
        <v>1517</v>
      </c>
      <c r="J958" s="218"/>
    </row>
    <row r="959" spans="1:10" ht="15.75" customHeight="1" x14ac:dyDescent="0.45">
      <c r="A959" s="226"/>
      <c r="B959" s="226"/>
      <c r="C959" s="216"/>
      <c r="D959" s="216"/>
      <c r="E959" s="216"/>
      <c r="F959" s="216"/>
      <c r="G959" s="217"/>
      <c r="H959" s="218"/>
      <c r="I959" s="218" t="s">
        <v>1517</v>
      </c>
      <c r="J959" s="218"/>
    </row>
    <row r="960" spans="1:10" ht="15.75" customHeight="1" x14ac:dyDescent="0.45">
      <c r="A960" s="226"/>
      <c r="B960" s="226"/>
      <c r="C960" s="216"/>
      <c r="D960" s="216"/>
      <c r="E960" s="216"/>
      <c r="F960" s="216"/>
      <c r="G960" s="217"/>
      <c r="H960" s="218"/>
      <c r="I960" s="218" t="s">
        <v>1517</v>
      </c>
      <c r="J960" s="218"/>
    </row>
    <row r="961" spans="1:10" ht="15.75" customHeight="1" x14ac:dyDescent="0.45">
      <c r="A961" s="226"/>
      <c r="B961" s="226"/>
      <c r="C961" s="216"/>
      <c r="D961" s="216"/>
      <c r="E961" s="216"/>
      <c r="F961" s="216"/>
      <c r="G961" s="217"/>
      <c r="H961" s="218"/>
      <c r="I961" s="218" t="s">
        <v>1517</v>
      </c>
      <c r="J961" s="218"/>
    </row>
    <row r="962" spans="1:10" ht="14.25" customHeight="1" x14ac:dyDescent="0.45">
      <c r="A962" s="226"/>
      <c r="B962" s="226"/>
      <c r="C962" s="219"/>
      <c r="D962" s="219"/>
      <c r="E962" s="219"/>
      <c r="F962" s="219"/>
      <c r="G962" s="217"/>
      <c r="H962" s="219"/>
      <c r="I962" s="217" t="s">
        <v>1517</v>
      </c>
      <c r="J962" s="217"/>
    </row>
    <row r="963" spans="1:10" ht="14.25" customHeight="1" x14ac:dyDescent="0.45">
      <c r="A963" s="226"/>
      <c r="B963" s="226"/>
      <c r="C963" s="219"/>
      <c r="D963" s="219"/>
      <c r="E963" s="219"/>
      <c r="F963" s="219"/>
      <c r="G963" s="217"/>
      <c r="H963" s="219"/>
      <c r="I963" s="217" t="s">
        <v>1517</v>
      </c>
      <c r="J963" s="217"/>
    </row>
    <row r="964" spans="1:10" ht="14.25" customHeight="1" x14ac:dyDescent="0.45">
      <c r="A964" s="226"/>
      <c r="B964" s="226"/>
      <c r="C964" s="219"/>
      <c r="D964" s="219"/>
      <c r="E964" s="219"/>
      <c r="F964" s="219"/>
      <c r="G964" s="217"/>
      <c r="H964" s="219"/>
      <c r="I964" s="217" t="s">
        <v>1517</v>
      </c>
      <c r="J964" s="217"/>
    </row>
    <row r="965" spans="1:10" ht="14.25" customHeight="1" x14ac:dyDescent="0.45">
      <c r="A965" s="226"/>
      <c r="B965" s="226"/>
      <c r="C965" s="219"/>
      <c r="D965" s="219"/>
      <c r="E965" s="219"/>
      <c r="F965" s="219"/>
      <c r="G965" s="217"/>
      <c r="H965" s="219"/>
      <c r="I965" s="217" t="s">
        <v>1517</v>
      </c>
      <c r="J965" s="217"/>
    </row>
    <row r="966" spans="1:10" ht="14.25" customHeight="1" x14ac:dyDescent="0.45">
      <c r="A966" s="226"/>
      <c r="B966" s="226"/>
      <c r="C966" s="219"/>
      <c r="D966" s="219"/>
      <c r="E966" s="219"/>
      <c r="F966" s="219"/>
      <c r="G966" s="217"/>
      <c r="H966" s="219"/>
      <c r="I966" s="217" t="s">
        <v>1517</v>
      </c>
      <c r="J966" s="217"/>
    </row>
    <row r="967" spans="1:10" ht="14.25" customHeight="1" x14ac:dyDescent="0.45">
      <c r="A967" s="226"/>
      <c r="B967" s="226"/>
      <c r="C967" s="219"/>
      <c r="D967" s="219"/>
      <c r="E967" s="219"/>
      <c r="F967" s="219"/>
      <c r="G967" s="217"/>
      <c r="H967" s="219"/>
      <c r="I967" s="217" t="s">
        <v>1517</v>
      </c>
      <c r="J967" s="217"/>
    </row>
    <row r="968" spans="1:10" ht="14.25" customHeight="1" x14ac:dyDescent="0.45">
      <c r="A968" s="226"/>
      <c r="B968" s="226"/>
      <c r="C968" s="219"/>
      <c r="D968" s="219"/>
      <c r="E968" s="219"/>
      <c r="F968" s="219"/>
      <c r="G968" s="217"/>
      <c r="H968" s="219"/>
      <c r="I968" s="217" t="s">
        <v>1517</v>
      </c>
      <c r="J968" s="217"/>
    </row>
    <row r="969" spans="1:10" ht="14.25" customHeight="1" x14ac:dyDescent="0.45">
      <c r="A969" s="226"/>
      <c r="B969" s="226"/>
      <c r="C969" s="219"/>
      <c r="D969" s="219"/>
      <c r="E969" s="219"/>
      <c r="F969" s="219"/>
      <c r="G969" s="217"/>
      <c r="H969" s="219"/>
      <c r="I969" s="217" t="s">
        <v>1517</v>
      </c>
      <c r="J969" s="217"/>
    </row>
    <row r="970" spans="1:10" ht="14.25" customHeight="1" x14ac:dyDescent="0.45">
      <c r="A970" s="226"/>
      <c r="B970" s="226"/>
      <c r="C970" s="219"/>
      <c r="D970" s="219"/>
      <c r="E970" s="219"/>
      <c r="F970" s="219"/>
      <c r="G970" s="217"/>
      <c r="H970" s="219"/>
      <c r="I970" s="217" t="s">
        <v>1517</v>
      </c>
      <c r="J970" s="217"/>
    </row>
    <row r="971" spans="1:10" ht="14.25" customHeight="1" x14ac:dyDescent="0.45">
      <c r="A971" s="226"/>
      <c r="B971" s="226"/>
      <c r="C971" s="219"/>
      <c r="D971" s="219"/>
      <c r="E971" s="219"/>
      <c r="F971" s="219"/>
      <c r="G971" s="217"/>
      <c r="H971" s="219"/>
      <c r="I971" s="217" t="s">
        <v>1517</v>
      </c>
      <c r="J971" s="217"/>
    </row>
    <row r="972" spans="1:10" ht="14.25" customHeight="1" x14ac:dyDescent="0.45">
      <c r="A972" s="226"/>
      <c r="B972" s="226"/>
      <c r="C972" s="219"/>
      <c r="D972" s="219"/>
      <c r="E972" s="219"/>
      <c r="F972" s="219"/>
      <c r="G972" s="217"/>
      <c r="H972" s="219"/>
      <c r="I972" s="217" t="s">
        <v>1517</v>
      </c>
      <c r="J972" s="217"/>
    </row>
    <row r="973" spans="1:10" ht="14.25" customHeight="1" x14ac:dyDescent="0.45">
      <c r="A973" s="226"/>
      <c r="B973" s="226"/>
      <c r="C973" s="219"/>
      <c r="D973" s="219"/>
      <c r="E973" s="219"/>
      <c r="F973" s="219"/>
      <c r="G973" s="217"/>
      <c r="H973" s="219"/>
      <c r="I973" s="217" t="s">
        <v>1517</v>
      </c>
      <c r="J973" s="217"/>
    </row>
    <row r="974" spans="1:10" ht="14.25" customHeight="1" x14ac:dyDescent="0.45">
      <c r="A974" s="226"/>
      <c r="B974" s="226"/>
      <c r="C974" s="219"/>
      <c r="D974" s="219"/>
      <c r="E974" s="219"/>
      <c r="F974" s="219"/>
      <c r="G974" s="217"/>
      <c r="H974" s="219"/>
      <c r="I974" s="217" t="s">
        <v>1517</v>
      </c>
      <c r="J974" s="217"/>
    </row>
    <row r="975" spans="1:10" ht="14.25" customHeight="1" x14ac:dyDescent="0.45">
      <c r="A975" s="226"/>
      <c r="B975" s="226"/>
      <c r="C975" s="219"/>
      <c r="D975" s="219"/>
      <c r="E975" s="219"/>
      <c r="F975" s="219"/>
      <c r="G975" s="217"/>
      <c r="H975" s="219"/>
      <c r="I975" s="217" t="s">
        <v>1517</v>
      </c>
      <c r="J975" s="217"/>
    </row>
    <row r="976" spans="1:10" ht="14.25" customHeight="1" x14ac:dyDescent="0.45">
      <c r="A976" s="226"/>
      <c r="B976" s="226"/>
      <c r="C976" s="219"/>
      <c r="D976" s="219"/>
      <c r="E976" s="219"/>
      <c r="F976" s="219"/>
      <c r="G976" s="217"/>
      <c r="H976" s="219"/>
      <c r="I976" s="217" t="s">
        <v>1517</v>
      </c>
      <c r="J976" s="217"/>
    </row>
    <row r="977" spans="1:10" ht="14.25" customHeight="1" x14ac:dyDescent="0.45">
      <c r="A977" s="226"/>
      <c r="B977" s="226"/>
      <c r="C977" s="219"/>
      <c r="D977" s="219"/>
      <c r="E977" s="219"/>
      <c r="F977" s="219"/>
      <c r="G977" s="217"/>
      <c r="H977" s="219"/>
      <c r="I977" s="217" t="s">
        <v>1517</v>
      </c>
      <c r="J977" s="217"/>
    </row>
    <row r="978" spans="1:10" ht="14.25" customHeight="1" x14ac:dyDescent="0.45">
      <c r="A978" s="226"/>
      <c r="B978" s="226"/>
      <c r="C978" s="219"/>
      <c r="D978" s="219"/>
      <c r="E978" s="219"/>
      <c r="F978" s="219"/>
      <c r="G978" s="217"/>
      <c r="H978" s="219"/>
      <c r="I978" s="217" t="s">
        <v>1517</v>
      </c>
      <c r="J978" s="217"/>
    </row>
    <row r="979" spans="1:10" ht="14.25" customHeight="1" x14ac:dyDescent="0.45">
      <c r="A979" s="226"/>
      <c r="B979" s="226"/>
      <c r="C979" s="219"/>
      <c r="D979" s="219"/>
      <c r="E979" s="219"/>
      <c r="F979" s="219"/>
      <c r="G979" s="217"/>
      <c r="H979" s="219"/>
      <c r="I979" s="217" t="s">
        <v>1517</v>
      </c>
      <c r="J979" s="217"/>
    </row>
    <row r="980" spans="1:10" ht="14.25" customHeight="1" x14ac:dyDescent="0.45">
      <c r="A980" s="226"/>
      <c r="B980" s="226"/>
      <c r="C980" s="219"/>
      <c r="D980" s="219"/>
      <c r="E980" s="219"/>
      <c r="F980" s="219"/>
      <c r="G980" s="217"/>
      <c r="H980" s="219"/>
      <c r="I980" s="217" t="s">
        <v>1517</v>
      </c>
      <c r="J980" s="217"/>
    </row>
    <row r="981" spans="1:10" ht="14.25" customHeight="1" x14ac:dyDescent="0.45">
      <c r="A981" s="226"/>
      <c r="B981" s="226"/>
      <c r="C981" s="219"/>
      <c r="D981" s="219"/>
      <c r="E981" s="219"/>
      <c r="F981" s="219"/>
      <c r="G981" s="217"/>
      <c r="H981" s="219"/>
      <c r="I981" s="217" t="s">
        <v>1517</v>
      </c>
      <c r="J981" s="217"/>
    </row>
    <row r="982" spans="1:10" ht="14.25" customHeight="1" x14ac:dyDescent="0.45">
      <c r="A982" s="226"/>
      <c r="B982" s="226"/>
      <c r="C982" s="219"/>
      <c r="D982" s="219"/>
      <c r="E982" s="219"/>
      <c r="F982" s="219"/>
      <c r="G982" s="217"/>
      <c r="H982" s="219"/>
      <c r="I982" s="217" t="s">
        <v>1517</v>
      </c>
      <c r="J982" s="217"/>
    </row>
    <row r="983" spans="1:10" ht="14.25" customHeight="1" x14ac:dyDescent="0.45">
      <c r="A983" s="226"/>
      <c r="B983" s="226"/>
      <c r="C983" s="219"/>
      <c r="D983" s="219"/>
      <c r="E983" s="219"/>
      <c r="F983" s="219"/>
      <c r="G983" s="217"/>
      <c r="H983" s="219"/>
      <c r="I983" s="217" t="s">
        <v>1517</v>
      </c>
      <c r="J983" s="217"/>
    </row>
    <row r="984" spans="1:10" ht="14.25" customHeight="1" x14ac:dyDescent="0.45">
      <c r="A984" s="226"/>
      <c r="B984" s="226"/>
      <c r="C984" s="219"/>
      <c r="D984" s="219"/>
      <c r="E984" s="219"/>
      <c r="F984" s="219"/>
      <c r="G984" s="217"/>
      <c r="H984" s="219"/>
      <c r="I984" s="217" t="s">
        <v>1517</v>
      </c>
      <c r="J984" s="217"/>
    </row>
    <row r="985" spans="1:10" ht="14.25" customHeight="1" x14ac:dyDescent="0.45">
      <c r="A985" s="226"/>
      <c r="B985" s="226"/>
      <c r="C985" s="219"/>
      <c r="D985" s="219"/>
      <c r="E985" s="219"/>
      <c r="F985" s="219"/>
      <c r="G985" s="217"/>
      <c r="H985" s="219"/>
      <c r="I985" s="217" t="s">
        <v>1517</v>
      </c>
      <c r="J985" s="217"/>
    </row>
    <row r="986" spans="1:10" ht="14.25" customHeight="1" x14ac:dyDescent="0.45">
      <c r="A986" s="226"/>
      <c r="B986" s="226"/>
      <c r="C986" s="219"/>
      <c r="D986" s="219"/>
      <c r="E986" s="219"/>
      <c r="F986" s="219"/>
      <c r="G986" s="217"/>
      <c r="H986" s="219"/>
      <c r="I986" s="217" t="s">
        <v>1517</v>
      </c>
      <c r="J986" s="217"/>
    </row>
    <row r="987" spans="1:10" ht="14.25" customHeight="1" x14ac:dyDescent="0.45">
      <c r="A987" s="226"/>
      <c r="B987" s="226"/>
      <c r="C987" s="219"/>
      <c r="D987" s="219"/>
      <c r="E987" s="219"/>
      <c r="F987" s="219"/>
      <c r="G987" s="217"/>
      <c r="H987" s="219"/>
      <c r="I987" s="217" t="s">
        <v>1517</v>
      </c>
      <c r="J987" s="217"/>
    </row>
    <row r="988" spans="1:10" ht="14.25" customHeight="1" x14ac:dyDescent="0.45">
      <c r="A988" s="226"/>
      <c r="B988" s="226"/>
      <c r="C988" s="219"/>
      <c r="D988" s="219"/>
      <c r="E988" s="219"/>
      <c r="F988" s="219"/>
      <c r="G988" s="217"/>
      <c r="H988" s="219"/>
      <c r="I988" s="217" t="s">
        <v>1517</v>
      </c>
      <c r="J988" s="217"/>
    </row>
    <row r="989" spans="1:10" ht="14.25" customHeight="1" x14ac:dyDescent="0.45">
      <c r="A989" s="226"/>
      <c r="B989" s="226"/>
      <c r="C989" s="219"/>
      <c r="D989" s="219"/>
      <c r="E989" s="219"/>
      <c r="F989" s="219"/>
      <c r="G989" s="217"/>
      <c r="H989" s="219"/>
      <c r="I989" s="217" t="s">
        <v>1517</v>
      </c>
      <c r="J989" s="217"/>
    </row>
    <row r="990" spans="1:10" ht="14.25" customHeight="1" x14ac:dyDescent="0.45">
      <c r="A990" s="226"/>
      <c r="B990" s="226"/>
      <c r="C990" s="219"/>
      <c r="D990" s="219"/>
      <c r="E990" s="219"/>
      <c r="F990" s="219"/>
      <c r="G990" s="217"/>
      <c r="H990" s="219"/>
      <c r="I990" s="217" t="s">
        <v>1517</v>
      </c>
      <c r="J990" s="217"/>
    </row>
    <row r="991" spans="1:10" ht="14.25" customHeight="1" x14ac:dyDescent="0.45">
      <c r="A991" s="226"/>
      <c r="B991" s="226"/>
      <c r="C991" s="219"/>
      <c r="D991" s="219"/>
      <c r="E991" s="219"/>
      <c r="F991" s="219"/>
      <c r="G991" s="217"/>
      <c r="H991" s="219"/>
      <c r="I991" s="217" t="s">
        <v>1517</v>
      </c>
      <c r="J991" s="217"/>
    </row>
    <row r="992" spans="1:10" ht="14.25" customHeight="1" x14ac:dyDescent="0.45">
      <c r="A992" s="226"/>
      <c r="B992" s="226"/>
      <c r="C992" s="219"/>
      <c r="D992" s="219"/>
      <c r="E992" s="219"/>
      <c r="F992" s="219"/>
      <c r="G992" s="217"/>
      <c r="H992" s="219"/>
      <c r="I992" s="217" t="s">
        <v>1517</v>
      </c>
      <c r="J992" s="217"/>
    </row>
    <row r="993" spans="1:10" ht="14.25" customHeight="1" x14ac:dyDescent="0.45">
      <c r="A993" s="226"/>
      <c r="B993" s="226"/>
      <c r="C993" s="219"/>
      <c r="D993" s="219"/>
      <c r="E993" s="219"/>
      <c r="F993" s="219"/>
      <c r="G993" s="217"/>
      <c r="H993" s="219"/>
      <c r="I993" s="217" t="s">
        <v>1517</v>
      </c>
      <c r="J993" s="217"/>
    </row>
    <row r="994" spans="1:10" ht="14.25" customHeight="1" x14ac:dyDescent="0.45">
      <c r="A994" s="226"/>
      <c r="B994" s="226"/>
      <c r="C994" s="219"/>
      <c r="D994" s="219"/>
      <c r="E994" s="219"/>
      <c r="F994" s="219"/>
      <c r="G994" s="217"/>
      <c r="H994" s="219"/>
      <c r="I994" s="217" t="s">
        <v>1517</v>
      </c>
      <c r="J994" s="217"/>
    </row>
    <row r="995" spans="1:10" ht="14.25" customHeight="1" x14ac:dyDescent="0.45">
      <c r="A995" s="226"/>
      <c r="B995" s="226"/>
      <c r="C995" s="219"/>
      <c r="D995" s="219"/>
      <c r="E995" s="219"/>
      <c r="F995" s="219"/>
      <c r="G995" s="217"/>
      <c r="H995" s="219"/>
      <c r="I995" s="217" t="s">
        <v>1517</v>
      </c>
      <c r="J995" s="217"/>
    </row>
    <row r="996" spans="1:10" ht="14.25" customHeight="1" x14ac:dyDescent="0.45">
      <c r="A996" s="226"/>
      <c r="B996" s="226"/>
      <c r="C996" s="219"/>
      <c r="D996" s="219"/>
      <c r="E996" s="219"/>
      <c r="F996" s="219"/>
      <c r="G996" s="217"/>
      <c r="H996" s="219"/>
      <c r="I996" s="217" t="s">
        <v>1517</v>
      </c>
      <c r="J996" s="217"/>
    </row>
    <row r="997" spans="1:10" ht="14.25" customHeight="1" x14ac:dyDescent="0.45">
      <c r="A997" s="226"/>
      <c r="B997" s="226"/>
      <c r="C997" s="219"/>
      <c r="D997" s="219"/>
      <c r="E997" s="219"/>
      <c r="F997" s="219"/>
      <c r="G997" s="217"/>
      <c r="H997" s="219"/>
      <c r="I997" s="217" t="s">
        <v>1517</v>
      </c>
      <c r="J997" s="217"/>
    </row>
    <row r="998" spans="1:10" ht="14.25" customHeight="1" x14ac:dyDescent="0.45">
      <c r="A998" s="226"/>
      <c r="B998" s="226"/>
      <c r="C998" s="219"/>
      <c r="D998" s="219"/>
      <c r="E998" s="219"/>
      <c r="F998" s="219"/>
      <c r="G998" s="217"/>
      <c r="H998" s="219"/>
      <c r="I998" s="217" t="s">
        <v>1517</v>
      </c>
      <c r="J998" s="217"/>
    </row>
    <row r="999" spans="1:10" ht="14.25" customHeight="1" x14ac:dyDescent="0.45">
      <c r="A999" s="226"/>
      <c r="B999" s="226"/>
      <c r="C999" s="219"/>
      <c r="D999" s="219"/>
      <c r="E999" s="219"/>
      <c r="F999" s="219"/>
      <c r="G999" s="217"/>
      <c r="H999" s="219"/>
      <c r="I999" s="217" t="s">
        <v>1517</v>
      </c>
      <c r="J999" s="217"/>
    </row>
    <row r="1000" spans="1:10" ht="14.25" customHeight="1" x14ac:dyDescent="0.45">
      <c r="A1000" s="226"/>
      <c r="B1000" s="226"/>
      <c r="C1000" s="219"/>
      <c r="D1000" s="219"/>
      <c r="E1000" s="219"/>
      <c r="F1000" s="219"/>
      <c r="G1000" s="217"/>
      <c r="H1000" s="219"/>
      <c r="I1000" s="217" t="s">
        <v>1517</v>
      </c>
      <c r="J1000" s="217"/>
    </row>
  </sheetData>
  <mergeCells count="14">
    <mergeCell ref="A2:A62"/>
    <mergeCell ref="B91:B106"/>
    <mergeCell ref="B46:B62"/>
    <mergeCell ref="A64:A106"/>
    <mergeCell ref="C58:F58"/>
    <mergeCell ref="C36:F36"/>
    <mergeCell ref="C14:F14"/>
    <mergeCell ref="C76:F76"/>
    <mergeCell ref="B30:B45"/>
    <mergeCell ref="C106:F106"/>
    <mergeCell ref="B64:B90"/>
    <mergeCell ref="C88:F88"/>
    <mergeCell ref="C26:F26"/>
    <mergeCell ref="B2:B29"/>
  </mergeCells>
  <hyperlinks>
    <hyperlink ref="I2" r:id="rId1" xr:uid="{00000000-0004-0000-0100-000000000000}"/>
    <hyperlink ref="I3" r:id="rId2" xr:uid="{00000000-0004-0000-0100-000001000000}"/>
    <hyperlink ref="I4" r:id="rId3" xr:uid="{00000000-0004-0000-0100-000002000000}"/>
    <hyperlink ref="I5" r:id="rId4" xr:uid="{00000000-0004-0000-0100-000003000000}"/>
    <hyperlink ref="I6" r:id="rId5" xr:uid="{00000000-0004-0000-0100-000004000000}"/>
    <hyperlink ref="I7" r:id="rId6" xr:uid="{00000000-0004-0000-0100-000005000000}"/>
    <hyperlink ref="I8" r:id="rId7" xr:uid="{00000000-0004-0000-0100-000006000000}"/>
    <hyperlink ref="I9" r:id="rId8" xr:uid="{00000000-0004-0000-0100-000007000000}"/>
    <hyperlink ref="I10" r:id="rId9" xr:uid="{00000000-0004-0000-0100-000008000000}"/>
    <hyperlink ref="I11" r:id="rId10" xr:uid="{00000000-0004-0000-0100-000009000000}"/>
    <hyperlink ref="I12" r:id="rId11" xr:uid="{00000000-0004-0000-0100-00000A000000}"/>
    <hyperlink ref="I13" r:id="rId12" xr:uid="{00000000-0004-0000-0100-00000B000000}"/>
    <hyperlink ref="I15" r:id="rId13" xr:uid="{00000000-0004-0000-0100-00000C000000}"/>
    <hyperlink ref="I16" r:id="rId14" xr:uid="{00000000-0004-0000-0100-00000D000000}"/>
    <hyperlink ref="I17" r:id="rId15" xr:uid="{00000000-0004-0000-0100-00000E000000}"/>
    <hyperlink ref="I18" r:id="rId16" xr:uid="{00000000-0004-0000-0100-00000F000000}"/>
    <hyperlink ref="I19" r:id="rId17" xr:uid="{00000000-0004-0000-0100-000010000000}"/>
    <hyperlink ref="I20" r:id="rId18" xr:uid="{00000000-0004-0000-0100-000011000000}"/>
    <hyperlink ref="I21" r:id="rId19" xr:uid="{00000000-0004-0000-0100-000012000000}"/>
    <hyperlink ref="I22" r:id="rId20" xr:uid="{00000000-0004-0000-0100-000013000000}"/>
    <hyperlink ref="I23" r:id="rId21" xr:uid="{00000000-0004-0000-0100-000014000000}"/>
    <hyperlink ref="I24" r:id="rId22" xr:uid="{00000000-0004-0000-0100-000015000000}"/>
    <hyperlink ref="I25" r:id="rId23" xr:uid="{00000000-0004-0000-0100-000016000000}"/>
    <hyperlink ref="I27" r:id="rId24" xr:uid="{00000000-0004-0000-0100-000017000000}"/>
    <hyperlink ref="I28" r:id="rId25" xr:uid="{00000000-0004-0000-0100-000018000000}"/>
    <hyperlink ref="I29" r:id="rId26" xr:uid="{00000000-0004-0000-0100-000019000000}"/>
    <hyperlink ref="I30" r:id="rId27" xr:uid="{00000000-0004-0000-0100-00001A000000}"/>
    <hyperlink ref="I31" r:id="rId28" xr:uid="{00000000-0004-0000-0100-00001B000000}"/>
    <hyperlink ref="I32" r:id="rId29" xr:uid="{00000000-0004-0000-0100-00001C000000}"/>
    <hyperlink ref="I33" r:id="rId30" xr:uid="{00000000-0004-0000-0100-00001D000000}"/>
    <hyperlink ref="I34" r:id="rId31" xr:uid="{00000000-0004-0000-0100-00001E000000}"/>
    <hyperlink ref="I35" r:id="rId32" xr:uid="{00000000-0004-0000-0100-00001F000000}"/>
    <hyperlink ref="I37" r:id="rId33" xr:uid="{00000000-0004-0000-0100-000020000000}"/>
    <hyperlink ref="I38" r:id="rId34" xr:uid="{00000000-0004-0000-0100-000021000000}"/>
    <hyperlink ref="I39" r:id="rId35" xr:uid="{00000000-0004-0000-0100-000022000000}"/>
    <hyperlink ref="I40" r:id="rId36" xr:uid="{00000000-0004-0000-0100-000023000000}"/>
    <hyperlink ref="I41" r:id="rId37" xr:uid="{00000000-0004-0000-0100-000024000000}"/>
    <hyperlink ref="I42" r:id="rId38" xr:uid="{00000000-0004-0000-0100-000025000000}"/>
    <hyperlink ref="I43" r:id="rId39" xr:uid="{00000000-0004-0000-0100-000026000000}"/>
    <hyperlink ref="I44" r:id="rId40" xr:uid="{00000000-0004-0000-0100-000027000000}"/>
    <hyperlink ref="I45" r:id="rId41" xr:uid="{00000000-0004-0000-0100-000028000000}"/>
    <hyperlink ref="I46" r:id="rId42" xr:uid="{00000000-0004-0000-0100-000029000000}"/>
    <hyperlink ref="I48" r:id="rId43" xr:uid="{00000000-0004-0000-0100-00002A000000}"/>
    <hyperlink ref="I49" r:id="rId44" xr:uid="{00000000-0004-0000-0100-00002B000000}"/>
    <hyperlink ref="I50" r:id="rId45" xr:uid="{00000000-0004-0000-0100-00002C000000}"/>
    <hyperlink ref="I52" r:id="rId46" xr:uid="{00000000-0004-0000-0100-00002D000000}"/>
    <hyperlink ref="I53" r:id="rId47" xr:uid="{00000000-0004-0000-0100-00002E000000}"/>
    <hyperlink ref="I54" r:id="rId48" xr:uid="{00000000-0004-0000-0100-00002F000000}"/>
    <hyperlink ref="I55" r:id="rId49" xr:uid="{00000000-0004-0000-0100-000030000000}"/>
    <hyperlink ref="I56" r:id="rId50" xr:uid="{00000000-0004-0000-0100-000031000000}"/>
    <hyperlink ref="I57" r:id="rId51" xr:uid="{00000000-0004-0000-0100-000032000000}"/>
    <hyperlink ref="I59" r:id="rId52" xr:uid="{00000000-0004-0000-0100-000033000000}"/>
    <hyperlink ref="I61" r:id="rId53" xr:uid="{00000000-0004-0000-0100-000034000000}"/>
    <hyperlink ref="I62" r:id="rId54" xr:uid="{00000000-0004-0000-0100-000035000000}"/>
    <hyperlink ref="I63" r:id="rId55" xr:uid="{00000000-0004-0000-0100-000036000000}"/>
    <hyperlink ref="I65" r:id="rId56" xr:uid="{00000000-0004-0000-0100-000037000000}"/>
    <hyperlink ref="I66" r:id="rId57" xr:uid="{00000000-0004-0000-0100-000038000000}"/>
    <hyperlink ref="I67" r:id="rId58" xr:uid="{00000000-0004-0000-0100-000039000000}"/>
    <hyperlink ref="I68" r:id="rId59" xr:uid="{00000000-0004-0000-0100-00003A000000}"/>
    <hyperlink ref="I69" r:id="rId60" xr:uid="{00000000-0004-0000-0100-00003B000000}"/>
    <hyperlink ref="I71" r:id="rId61" xr:uid="{00000000-0004-0000-0100-00003C000000}"/>
    <hyperlink ref="I72" r:id="rId62" xr:uid="{00000000-0004-0000-0100-00003D000000}"/>
    <hyperlink ref="I73" r:id="rId63" xr:uid="{00000000-0004-0000-0100-00003E000000}"/>
    <hyperlink ref="I74" r:id="rId64" xr:uid="{00000000-0004-0000-0100-00003F000000}"/>
    <hyperlink ref="I75" r:id="rId65" xr:uid="{00000000-0004-0000-0100-000040000000}"/>
    <hyperlink ref="I77" r:id="rId66" xr:uid="{00000000-0004-0000-0100-000041000000}"/>
    <hyperlink ref="I78" r:id="rId67" xr:uid="{00000000-0004-0000-0100-000042000000}"/>
    <hyperlink ref="I79" r:id="rId68" xr:uid="{00000000-0004-0000-0100-000043000000}"/>
    <hyperlink ref="I80" r:id="rId69" xr:uid="{00000000-0004-0000-0100-000044000000}"/>
    <hyperlink ref="I81" r:id="rId70" xr:uid="{00000000-0004-0000-0100-000045000000}"/>
    <hyperlink ref="I82" r:id="rId71" xr:uid="{00000000-0004-0000-0100-000046000000}"/>
    <hyperlink ref="I83" r:id="rId72" xr:uid="{00000000-0004-0000-0100-000047000000}"/>
    <hyperlink ref="I84" r:id="rId73" xr:uid="{00000000-0004-0000-0100-000048000000}"/>
    <hyperlink ref="I85" r:id="rId74" xr:uid="{00000000-0004-0000-0100-000049000000}"/>
    <hyperlink ref="I86" r:id="rId75" xr:uid="{00000000-0004-0000-0100-00004A000000}"/>
    <hyperlink ref="I87" r:id="rId76" xr:uid="{00000000-0004-0000-0100-00004B000000}"/>
    <hyperlink ref="I89" r:id="rId77" xr:uid="{00000000-0004-0000-0100-00004C000000}"/>
    <hyperlink ref="I90" r:id="rId78" xr:uid="{00000000-0004-0000-0100-00004D000000}"/>
    <hyperlink ref="I91" r:id="rId79" xr:uid="{00000000-0004-0000-0100-00004E000000}"/>
    <hyperlink ref="I92" r:id="rId80" xr:uid="{00000000-0004-0000-0100-00004F000000}"/>
    <hyperlink ref="I94" r:id="rId81" xr:uid="{00000000-0004-0000-0100-000050000000}"/>
    <hyperlink ref="I95" r:id="rId82" xr:uid="{00000000-0004-0000-0100-000051000000}"/>
    <hyperlink ref="I96" r:id="rId83" xr:uid="{00000000-0004-0000-0100-000052000000}"/>
    <hyperlink ref="I98" r:id="rId84" xr:uid="{00000000-0004-0000-0100-000054000000}"/>
    <hyperlink ref="I99" r:id="rId85" xr:uid="{00000000-0004-0000-0100-000055000000}"/>
    <hyperlink ref="I100" r:id="rId86" xr:uid="{00000000-0004-0000-0100-000056000000}"/>
    <hyperlink ref="I101" r:id="rId87" xr:uid="{00000000-0004-0000-0100-000057000000}"/>
    <hyperlink ref="I102" r:id="rId88" xr:uid="{00000000-0004-0000-0100-000058000000}"/>
    <hyperlink ref="I103" r:id="rId89" xr:uid="{00000000-0004-0000-0100-000059000000}"/>
    <hyperlink ref="I104" r:id="rId90" xr:uid="{00000000-0004-0000-0100-00005A000000}"/>
    <hyperlink ref="I105" r:id="rId91" xr:uid="{00000000-0004-0000-0100-00005B000000}"/>
    <hyperlink ref="I97" r:id="rId92" xr:uid="{00000000-0004-0000-0100-000053000000}"/>
  </hyperlinks>
  <pageMargins left="0.7" right="0.7" top="0.75" bottom="0.75" header="0" footer="0"/>
  <pageSetup paperSize="9" orientation="portrait"/>
  <drawing r:id="rId9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pageSetUpPr fitToPage="1"/>
  </sheetPr>
  <dimension ref="A1:L1002"/>
  <sheetViews>
    <sheetView tabSelected="1" topLeftCell="A88" workbookViewId="0">
      <selection activeCell="B30" sqref="B30:B50"/>
    </sheetView>
  </sheetViews>
  <sheetFormatPr defaultColWidth="14.3984375" defaultRowHeight="15" customHeight="1" x14ac:dyDescent="0.45"/>
  <cols>
    <col min="3" max="3" width="16" customWidth="1"/>
    <col min="4" max="4" width="24.1328125" customWidth="1"/>
    <col min="5" max="5" width="71.1328125" customWidth="1"/>
    <col min="6" max="6" width="21.86328125" customWidth="1"/>
    <col min="7" max="7" width="56.59765625" customWidth="1"/>
    <col min="8" max="9" width="55" customWidth="1"/>
  </cols>
  <sheetData>
    <row r="1" spans="1:12" ht="126" customHeight="1" x14ac:dyDescent="0.45">
      <c r="A1" s="50"/>
      <c r="B1" s="50"/>
      <c r="C1" s="51" t="s">
        <v>1</v>
      </c>
      <c r="D1" s="51" t="s">
        <v>2</v>
      </c>
      <c r="E1" s="51" t="s">
        <v>3</v>
      </c>
      <c r="F1" s="52" t="s">
        <v>4</v>
      </c>
      <c r="G1" s="53" t="s">
        <v>5</v>
      </c>
      <c r="H1" s="53" t="s">
        <v>6</v>
      </c>
      <c r="I1" s="53" t="s">
        <v>7</v>
      </c>
      <c r="J1" s="111" t="s">
        <v>8</v>
      </c>
      <c r="K1" s="111" t="s">
        <v>9</v>
      </c>
      <c r="L1" s="111" t="s">
        <v>10</v>
      </c>
    </row>
    <row r="2" spans="1:12" ht="178.5" customHeight="1" x14ac:dyDescent="0.45">
      <c r="A2" s="237" t="s">
        <v>11</v>
      </c>
      <c r="B2" s="262" t="s">
        <v>12</v>
      </c>
      <c r="C2" s="125" t="str">
        <f>HYPERLINK("https://drive.google.com/drive/folders/1s37iLQQZJH3TI1dE_3CICON6J_B1loRk", "Lesson 1")</f>
        <v>Lesson 1</v>
      </c>
      <c r="D2" s="4" t="s">
        <v>1518</v>
      </c>
      <c r="E2" s="4" t="s">
        <v>1519</v>
      </c>
      <c r="F2" s="139" t="s">
        <v>1520</v>
      </c>
      <c r="G2" s="7" t="s">
        <v>1521</v>
      </c>
      <c r="H2" s="7"/>
      <c r="I2" s="80" t="s">
        <v>1522</v>
      </c>
      <c r="J2" s="111" t="s">
        <v>1523</v>
      </c>
      <c r="K2" s="111" t="s">
        <v>1524</v>
      </c>
      <c r="L2" s="111"/>
    </row>
    <row r="3" spans="1:12" ht="267.75" customHeight="1" x14ac:dyDescent="0.45">
      <c r="A3" s="230"/>
      <c r="B3" s="263"/>
      <c r="C3" s="125" t="str">
        <f>HYPERLINK("https://drive.google.com/drive/folders/1sSVlAfxmTMoGHagJgPl2y98mknKNctTN", "Lesson 2")</f>
        <v>Lesson 2</v>
      </c>
      <c r="D3" s="4" t="s">
        <v>1525</v>
      </c>
      <c r="E3" s="54"/>
      <c r="F3" s="140" t="s">
        <v>1526</v>
      </c>
      <c r="G3" s="141" t="s">
        <v>1527</v>
      </c>
      <c r="H3" s="76" t="s">
        <v>1528</v>
      </c>
      <c r="I3" s="80" t="s">
        <v>1529</v>
      </c>
      <c r="J3" s="111" t="s">
        <v>1530</v>
      </c>
      <c r="K3" s="111" t="s">
        <v>1531</v>
      </c>
      <c r="L3" s="111" t="s">
        <v>1532</v>
      </c>
    </row>
    <row r="4" spans="1:12" ht="191.25" customHeight="1" x14ac:dyDescent="0.45">
      <c r="A4" s="230"/>
      <c r="B4" s="263"/>
      <c r="C4" s="125" t="str">
        <f>HYPERLINK("https://drive.google.com/drive/folders/1smCvoXK1ryui8Sd8KW2m0ZwgnqZo6UQ0", "Lesson 3")</f>
        <v>Lesson 3</v>
      </c>
      <c r="D4" s="4" t="s">
        <v>1533</v>
      </c>
      <c r="E4" s="4" t="s">
        <v>1534</v>
      </c>
      <c r="F4" s="140" t="s">
        <v>1535</v>
      </c>
      <c r="G4" s="33" t="s">
        <v>1536</v>
      </c>
      <c r="H4" s="7"/>
      <c r="I4" s="80" t="s">
        <v>1537</v>
      </c>
      <c r="J4" s="111" t="s">
        <v>1538</v>
      </c>
      <c r="K4" s="111" t="s">
        <v>1539</v>
      </c>
      <c r="L4" s="111"/>
    </row>
    <row r="5" spans="1:12" ht="89.25" customHeight="1" x14ac:dyDescent="0.45">
      <c r="A5" s="230"/>
      <c r="B5" s="263"/>
      <c r="C5" s="125" t="str">
        <f>HYPERLINK("https://drive.google.com/drive/folders/1sdKtx_ybPWsZkVJ2bs3OnRHtc4qA_486", "Lesson 4")</f>
        <v>Lesson 4</v>
      </c>
      <c r="D5" s="4" t="s">
        <v>1540</v>
      </c>
      <c r="E5" s="4" t="s">
        <v>1541</v>
      </c>
      <c r="F5" s="55" t="s">
        <v>1542</v>
      </c>
      <c r="G5" s="7"/>
      <c r="H5" s="7"/>
      <c r="I5" s="80" t="s">
        <v>1543</v>
      </c>
      <c r="J5" s="111" t="s">
        <v>1544</v>
      </c>
      <c r="K5" s="111" t="s">
        <v>1545</v>
      </c>
      <c r="L5" s="111"/>
    </row>
    <row r="6" spans="1:12" ht="409.5" customHeight="1" x14ac:dyDescent="0.45">
      <c r="A6" s="230"/>
      <c r="B6" s="263"/>
      <c r="C6" s="142" t="str">
        <f>HYPERLINK("https://drive.google.com/drive/folders/1tzAaMqWjvTMViF4ekbNUMmcm0LLuHQIJ", "Lesson 67
")</f>
        <v xml:space="preserve">Lesson 67
</v>
      </c>
      <c r="D6" s="56" t="s">
        <v>1546</v>
      </c>
      <c r="E6" s="56" t="s">
        <v>1547</v>
      </c>
      <c r="F6" s="140" t="s">
        <v>1548</v>
      </c>
      <c r="G6" s="7" t="s">
        <v>1549</v>
      </c>
      <c r="H6" s="76"/>
      <c r="I6" s="80" t="s">
        <v>1550</v>
      </c>
      <c r="J6" s="111" t="s">
        <v>1551</v>
      </c>
      <c r="K6" s="111" t="s">
        <v>1552</v>
      </c>
      <c r="L6" s="111"/>
    </row>
    <row r="7" spans="1:12" ht="78.75" customHeight="1" x14ac:dyDescent="0.45">
      <c r="A7" s="230"/>
      <c r="B7" s="263"/>
      <c r="C7" s="142" t="str">
        <f>HYPERLINK("https://drive.google.com/drive/folders/1mJtclRjWfnaY9xROQh5_2xQfZbnlCQku", "Lesson 68
")</f>
        <v xml:space="preserve">Lesson 68
</v>
      </c>
      <c r="D7" s="56" t="s">
        <v>1553</v>
      </c>
      <c r="E7" s="56" t="s">
        <v>1554</v>
      </c>
      <c r="F7" s="140" t="s">
        <v>1555</v>
      </c>
      <c r="G7" s="11"/>
      <c r="H7" s="11"/>
      <c r="I7" s="80" t="s">
        <v>1556</v>
      </c>
      <c r="J7" s="111" t="s">
        <v>1557</v>
      </c>
      <c r="K7" s="111" t="s">
        <v>1558</v>
      </c>
      <c r="L7" s="111"/>
    </row>
    <row r="8" spans="1:12" ht="204" customHeight="1" x14ac:dyDescent="0.45">
      <c r="A8" s="230"/>
      <c r="B8" s="263"/>
      <c r="C8" s="125" t="str">
        <f>HYPERLINK("https://drive.google.com/drive/folders/1sxDvJVRnKjwR3aWBY1WNiOgDmBkNl09T", "Lesson 5")</f>
        <v>Lesson 5</v>
      </c>
      <c r="D8" s="4" t="s">
        <v>1559</v>
      </c>
      <c r="E8" s="4" t="s">
        <v>1560</v>
      </c>
      <c r="F8" s="140" t="s">
        <v>1561</v>
      </c>
      <c r="G8" s="7" t="s">
        <v>1562</v>
      </c>
      <c r="H8" s="76" t="s">
        <v>1563</v>
      </c>
      <c r="I8" s="80" t="s">
        <v>1564</v>
      </c>
      <c r="J8" s="111" t="s">
        <v>1565</v>
      </c>
      <c r="K8" s="111" t="s">
        <v>1566</v>
      </c>
      <c r="L8" s="117" t="s">
        <v>1567</v>
      </c>
    </row>
    <row r="9" spans="1:12" ht="267.75" customHeight="1" x14ac:dyDescent="0.45">
      <c r="A9" s="230"/>
      <c r="B9" s="263"/>
      <c r="C9" s="125" t="str">
        <f>HYPERLINK("https://drive.google.com/drive/folders/1t9Kikql5XdDW64HhKmoGaHPNssItSfpT", "Lesson 6")</f>
        <v>Lesson 6</v>
      </c>
      <c r="D9" s="4" t="s">
        <v>1568</v>
      </c>
      <c r="E9" s="4" t="s">
        <v>1569</v>
      </c>
      <c r="F9" s="140" t="s">
        <v>1570</v>
      </c>
      <c r="G9" s="7" t="s">
        <v>1571</v>
      </c>
      <c r="H9" s="76" t="s">
        <v>1572</v>
      </c>
      <c r="I9" s="80" t="s">
        <v>1573</v>
      </c>
      <c r="J9" s="111" t="s">
        <v>1574</v>
      </c>
      <c r="K9" s="111" t="s">
        <v>1575</v>
      </c>
      <c r="L9" s="111" t="s">
        <v>1576</v>
      </c>
    </row>
    <row r="10" spans="1:12" ht="267.75" customHeight="1" x14ac:dyDescent="0.45">
      <c r="A10" s="230"/>
      <c r="B10" s="263"/>
      <c r="C10" s="125" t="str">
        <f>HYPERLINK("https://drive.google.com/drive/folders/1tHas-J-tDnKMwVG_2MO01DjbMeXjKnRB", "Lesson 7")</f>
        <v>Lesson 7</v>
      </c>
      <c r="D10" s="4" t="s">
        <v>1577</v>
      </c>
      <c r="E10" s="4" t="s">
        <v>1578</v>
      </c>
      <c r="F10" s="140" t="s">
        <v>1579</v>
      </c>
      <c r="G10" s="7" t="s">
        <v>1580</v>
      </c>
      <c r="H10" s="76" t="s">
        <v>1581</v>
      </c>
      <c r="I10" s="80" t="s">
        <v>1582</v>
      </c>
      <c r="J10" s="111" t="s">
        <v>1583</v>
      </c>
      <c r="K10" s="111" t="s">
        <v>1584</v>
      </c>
      <c r="L10" s="111" t="s">
        <v>1585</v>
      </c>
    </row>
    <row r="11" spans="1:12" ht="165.75" customHeight="1" x14ac:dyDescent="0.45">
      <c r="A11" s="230"/>
      <c r="B11" s="263"/>
      <c r="C11" s="125" t="str">
        <f>HYPERLINK("https://drive.google.com/drive/folders/1tTq9NTwaJ-DHFf541UvgVBOZvCKeEHmT", "Lesson 8")</f>
        <v>Lesson 8</v>
      </c>
      <c r="D11" s="4" t="s">
        <v>1586</v>
      </c>
      <c r="E11" s="4" t="s">
        <v>1587</v>
      </c>
      <c r="F11" s="140" t="s">
        <v>1588</v>
      </c>
      <c r="G11" s="7" t="s">
        <v>1589</v>
      </c>
      <c r="H11" s="7"/>
      <c r="I11" s="80" t="s">
        <v>1590</v>
      </c>
      <c r="J11" s="111" t="s">
        <v>1591</v>
      </c>
      <c r="K11" s="111" t="s">
        <v>1592</v>
      </c>
      <c r="L11" s="117"/>
    </row>
    <row r="12" spans="1:12" ht="191.25" customHeight="1" x14ac:dyDescent="0.45">
      <c r="A12" s="230"/>
      <c r="B12" s="263"/>
      <c r="C12" s="125" t="str">
        <f>HYPERLINK("https://drive.google.com/drive/folders/1tjDgq1NoCgOmyAUJgrztO3j5mpIjwAy_", "Lesson 9")</f>
        <v>Lesson 9</v>
      </c>
      <c r="D12" s="4" t="s">
        <v>1593</v>
      </c>
      <c r="E12" s="4" t="s">
        <v>1587</v>
      </c>
      <c r="F12" s="140" t="s">
        <v>1588</v>
      </c>
      <c r="G12" s="7" t="s">
        <v>1594</v>
      </c>
      <c r="H12" s="7"/>
      <c r="I12" s="80" t="s">
        <v>1595</v>
      </c>
      <c r="J12" s="111" t="s">
        <v>1596</v>
      </c>
      <c r="K12" s="111" t="s">
        <v>1597</v>
      </c>
      <c r="L12" s="111"/>
    </row>
    <row r="13" spans="1:12" ht="105" customHeight="1" x14ac:dyDescent="0.45">
      <c r="A13" s="230"/>
      <c r="B13" s="263"/>
      <c r="C13" s="142" t="str">
        <f>HYPERLINK("https://drive.google.com/drive/folders/1tLycYfv66quQicjRidKOFdgQD9Guclf5", "Lesson 73")</f>
        <v>Lesson 73</v>
      </c>
      <c r="D13" s="57" t="s">
        <v>1598</v>
      </c>
      <c r="E13" s="56" t="s">
        <v>1599</v>
      </c>
      <c r="F13" s="140" t="s">
        <v>1600</v>
      </c>
      <c r="G13" s="11"/>
      <c r="H13" s="11"/>
      <c r="I13" s="80" t="s">
        <v>1601</v>
      </c>
      <c r="J13" s="111" t="s">
        <v>1602</v>
      </c>
      <c r="K13" s="111" t="s">
        <v>1603</v>
      </c>
      <c r="L13" s="111"/>
    </row>
    <row r="14" spans="1:12" ht="140.25" customHeight="1" x14ac:dyDescent="0.45">
      <c r="A14" s="230"/>
      <c r="B14" s="263"/>
      <c r="C14" s="125" t="str">
        <f>HYPERLINK("https://drive.google.com/drive/folders/1t6rqpWZWm9sIPM_45CNa-sGuH0LgYwaW", "Lesson 64")</f>
        <v>Lesson 64</v>
      </c>
      <c r="D14" s="4" t="s">
        <v>1604</v>
      </c>
      <c r="E14" s="4" t="s">
        <v>1605</v>
      </c>
      <c r="F14" s="140" t="s">
        <v>1606</v>
      </c>
      <c r="G14" s="7"/>
      <c r="H14" s="7"/>
      <c r="I14" s="80" t="s">
        <v>1607</v>
      </c>
      <c r="J14" s="111" t="s">
        <v>1608</v>
      </c>
      <c r="K14" s="111" t="s">
        <v>1609</v>
      </c>
      <c r="L14" s="111"/>
    </row>
    <row r="15" spans="1:12" ht="127.5" customHeight="1" x14ac:dyDescent="0.45">
      <c r="A15" s="230"/>
      <c r="B15" s="263"/>
      <c r="C15" s="125" t="str">
        <f>HYPERLINK("https://drive.google.com/drive/folders/1t6roi3cTygNup89es4e6VOi1OiZgln9k", "Lesson 65")</f>
        <v>Lesson 65</v>
      </c>
      <c r="D15" s="4" t="s">
        <v>1610</v>
      </c>
      <c r="E15" s="4" t="s">
        <v>1611</v>
      </c>
      <c r="F15" s="140" t="s">
        <v>1606</v>
      </c>
      <c r="G15" s="7"/>
      <c r="H15" s="7"/>
      <c r="I15" s="80" t="s">
        <v>1612</v>
      </c>
      <c r="J15" s="111" t="s">
        <v>1613</v>
      </c>
      <c r="K15" s="111" t="s">
        <v>1614</v>
      </c>
      <c r="L15" s="117"/>
    </row>
    <row r="16" spans="1:12" ht="196.9" customHeight="1" x14ac:dyDescent="0.45">
      <c r="A16" s="230"/>
      <c r="B16" s="263"/>
      <c r="C16" s="142" t="str">
        <f>HYPERLINK("https://drive.google.com/drive/folders/1tKMFsAJJ1Yu3ccAZJbLg6FSYf7xKkuqF", "Lesson 69")</f>
        <v>Lesson 69</v>
      </c>
      <c r="D16" s="56" t="s">
        <v>1615</v>
      </c>
      <c r="E16" s="56" t="s">
        <v>1616</v>
      </c>
      <c r="F16" s="140" t="s">
        <v>1617</v>
      </c>
      <c r="G16" s="7" t="s">
        <v>1618</v>
      </c>
      <c r="H16" s="11"/>
      <c r="I16" s="80" t="s">
        <v>1619</v>
      </c>
      <c r="J16" s="111" t="s">
        <v>1620</v>
      </c>
      <c r="K16" s="111" t="s">
        <v>1621</v>
      </c>
      <c r="L16" s="111"/>
    </row>
    <row r="17" spans="1:12" ht="144.4" customHeight="1" x14ac:dyDescent="0.45">
      <c r="A17" s="230"/>
      <c r="B17" s="263"/>
      <c r="C17" s="142" t="str">
        <f>HYPERLINK("https://drive.google.com/drive/folders/1tHSB7SP0QsvkNBK3WcatVqn1L4dj-fbJ", "Lesson 70")</f>
        <v>Lesson 70</v>
      </c>
      <c r="D17" s="56" t="s">
        <v>1622</v>
      </c>
      <c r="E17" s="56" t="s">
        <v>1623</v>
      </c>
      <c r="F17" s="140" t="s">
        <v>1624</v>
      </c>
      <c r="G17" s="7" t="s">
        <v>1625</v>
      </c>
      <c r="H17" s="11" t="s">
        <v>1626</v>
      </c>
      <c r="I17" s="80" t="s">
        <v>1627</v>
      </c>
      <c r="J17" s="111" t="s">
        <v>1628</v>
      </c>
      <c r="K17" s="111" t="s">
        <v>1629</v>
      </c>
      <c r="L17" s="111" t="s">
        <v>1630</v>
      </c>
    </row>
    <row r="18" spans="1:12" ht="210" customHeight="1" x14ac:dyDescent="0.45">
      <c r="A18" s="230"/>
      <c r="B18" s="263"/>
      <c r="C18" s="142" t="str">
        <f>HYPERLINK("https://drive.google.com/drive/folders/1tOlLnNQNmWRMl7dcWLrAMrZ3EbMaggCA", "Lesson 71")</f>
        <v>Lesson 71</v>
      </c>
      <c r="D18" s="56" t="s">
        <v>1631</v>
      </c>
      <c r="E18" s="56" t="s">
        <v>1632</v>
      </c>
      <c r="F18" s="140" t="s">
        <v>1633</v>
      </c>
      <c r="G18" s="7" t="s">
        <v>1634</v>
      </c>
      <c r="H18" s="11"/>
      <c r="I18" s="80" t="s">
        <v>1635</v>
      </c>
      <c r="J18" s="111" t="s">
        <v>1636</v>
      </c>
      <c r="K18" s="111" t="s">
        <v>1637</v>
      </c>
      <c r="L18" s="117"/>
    </row>
    <row r="19" spans="1:12" ht="170.65" customHeight="1" x14ac:dyDescent="0.45">
      <c r="A19" s="230"/>
      <c r="B19" s="263"/>
      <c r="C19" s="142" t="str">
        <f>HYPERLINK("https://drive.google.com/drive/folders/1tM2UixQVkFFXAn00rMUWSWhorKBoShUy", "Lesson 72")</f>
        <v>Lesson 72</v>
      </c>
      <c r="D19" s="56" t="s">
        <v>1638</v>
      </c>
      <c r="E19" s="56" t="s">
        <v>1639</v>
      </c>
      <c r="F19" s="140" t="s">
        <v>1640</v>
      </c>
      <c r="G19" s="7" t="s">
        <v>1641</v>
      </c>
      <c r="H19" s="76"/>
      <c r="I19" s="80" t="s">
        <v>1642</v>
      </c>
      <c r="J19" s="111" t="s">
        <v>1643</v>
      </c>
      <c r="K19" s="111" t="s">
        <v>1644</v>
      </c>
      <c r="L19" s="111"/>
    </row>
    <row r="20" spans="1:12" ht="63.75" customHeight="1" x14ac:dyDescent="0.45">
      <c r="A20" s="230"/>
      <c r="B20" s="263"/>
      <c r="C20" s="234" t="s">
        <v>58</v>
      </c>
      <c r="D20" s="235"/>
      <c r="E20" s="235"/>
      <c r="F20" s="236"/>
      <c r="G20" s="7"/>
      <c r="H20" s="7"/>
      <c r="I20" s="76" t="s">
        <v>58</v>
      </c>
      <c r="J20" s="111"/>
      <c r="K20" s="111"/>
      <c r="L20" s="111"/>
    </row>
    <row r="21" spans="1:12" ht="242.25" customHeight="1" x14ac:dyDescent="0.45">
      <c r="A21" s="230"/>
      <c r="B21" s="263"/>
      <c r="C21" s="125" t="str">
        <f>HYPERLINK("https://drive.google.com/drive/folders/1s2fN-m67Em9kfnCfEKpFPMRgGwBYeYJs", "Lesson 10")</f>
        <v>Lesson 10</v>
      </c>
      <c r="D21" s="41" t="s">
        <v>1645</v>
      </c>
      <c r="E21" s="41" t="s">
        <v>1646</v>
      </c>
      <c r="F21" s="41" t="s">
        <v>1647</v>
      </c>
      <c r="G21" s="7" t="s">
        <v>1648</v>
      </c>
      <c r="H21" s="76" t="s">
        <v>1649</v>
      </c>
      <c r="I21" s="80" t="s">
        <v>1650</v>
      </c>
      <c r="J21" s="111" t="s">
        <v>1651</v>
      </c>
      <c r="K21" s="111" t="s">
        <v>1652</v>
      </c>
      <c r="L21" s="111"/>
    </row>
    <row r="22" spans="1:12" ht="153" customHeight="1" x14ac:dyDescent="0.45">
      <c r="A22" s="230"/>
      <c r="B22" s="263"/>
      <c r="C22" s="142" t="str">
        <f>HYPERLINK("https://drive.google.com/drive/folders/1thr7_-BnaMgkFAP3m0aGO5vVTFxUUv1F", "Lesson 90")</f>
        <v>Lesson 90</v>
      </c>
      <c r="D22" s="58" t="s">
        <v>1653</v>
      </c>
      <c r="E22" s="59" t="s">
        <v>1654</v>
      </c>
      <c r="F22" s="41" t="s">
        <v>1655</v>
      </c>
      <c r="G22" s="7" t="s">
        <v>1656</v>
      </c>
      <c r="H22" s="76" t="s">
        <v>1657</v>
      </c>
      <c r="I22" s="80" t="s">
        <v>1658</v>
      </c>
      <c r="J22" s="111" t="s">
        <v>1659</v>
      </c>
      <c r="K22" s="111" t="s">
        <v>1660</v>
      </c>
      <c r="L22" s="111"/>
    </row>
    <row r="23" spans="1:12" ht="204" customHeight="1" x14ac:dyDescent="0.45">
      <c r="A23" s="230"/>
      <c r="B23" s="263"/>
      <c r="C23" s="142" t="str">
        <f>HYPERLINK("https://drive.google.com/drive/folders/1tjWr6KNWq6FbaffE6e9qHjr6-mwuZZcw", "Lesson 89")</f>
        <v>Lesson 89</v>
      </c>
      <c r="D23" s="58" t="s">
        <v>1661</v>
      </c>
      <c r="E23" s="59" t="s">
        <v>1662</v>
      </c>
      <c r="F23" s="41" t="s">
        <v>1663</v>
      </c>
      <c r="G23" s="7" t="s">
        <v>1664</v>
      </c>
      <c r="H23" s="7"/>
      <c r="I23" s="80" t="s">
        <v>1665</v>
      </c>
      <c r="J23" s="111" t="s">
        <v>1666</v>
      </c>
      <c r="K23" s="111" t="s">
        <v>1667</v>
      </c>
      <c r="L23" s="111"/>
    </row>
    <row r="24" spans="1:12" ht="153" customHeight="1" x14ac:dyDescent="0.45">
      <c r="A24" s="230"/>
      <c r="B24" s="263"/>
      <c r="C24" s="142" t="str">
        <f>HYPERLINK("https://drive.google.com/drive/folders/1tgW0K1tq98RO-zn3Y3OFo3vM1CMkph5j", "Lesson 91")</f>
        <v>Lesson 91</v>
      </c>
      <c r="D24" s="58" t="s">
        <v>1668</v>
      </c>
      <c r="E24" s="59" t="s">
        <v>1669</v>
      </c>
      <c r="F24" s="41" t="s">
        <v>1670</v>
      </c>
      <c r="G24" s="7"/>
      <c r="H24" s="7" t="s">
        <v>1671</v>
      </c>
      <c r="I24" s="80" t="s">
        <v>1672</v>
      </c>
      <c r="J24" s="111" t="s">
        <v>1673</v>
      </c>
      <c r="K24" s="111" t="s">
        <v>1674</v>
      </c>
      <c r="L24" s="117"/>
    </row>
    <row r="25" spans="1:12" ht="114.75" customHeight="1" x14ac:dyDescent="0.45">
      <c r="A25" s="230"/>
      <c r="B25" s="263"/>
      <c r="C25" s="125" t="str">
        <f>HYPERLINK("https://drive.google.com/drive/folders/1rz_iD3kSs7A4KeCx2PgcbFPB5qNe5gMk", "Lesson 11")</f>
        <v>Lesson 11</v>
      </c>
      <c r="D25" s="41" t="s">
        <v>1675</v>
      </c>
      <c r="E25" s="41" t="s">
        <v>1676</v>
      </c>
      <c r="F25" s="41" t="s">
        <v>1677</v>
      </c>
      <c r="G25" s="60" t="s">
        <v>1678</v>
      </c>
      <c r="H25" s="7"/>
      <c r="I25" s="80" t="s">
        <v>1679</v>
      </c>
      <c r="J25" s="111" t="s">
        <v>1680</v>
      </c>
      <c r="K25" s="111" t="s">
        <v>1681</v>
      </c>
      <c r="L25" s="111"/>
    </row>
    <row r="26" spans="1:12" ht="165.75" customHeight="1" x14ac:dyDescent="0.45">
      <c r="A26" s="230"/>
      <c r="B26" s="263"/>
      <c r="C26" s="125" t="str">
        <f>HYPERLINK("https://drive.google.com/drive/folders/1sAue4mSkTwT1wNR9MqXcV0QgKTK1t_ND", "Lesson 12")</f>
        <v>Lesson 12</v>
      </c>
      <c r="D26" s="41" t="s">
        <v>1682</v>
      </c>
      <c r="E26" s="41" t="s">
        <v>1683</v>
      </c>
      <c r="F26" s="41" t="s">
        <v>1684</v>
      </c>
      <c r="G26" s="141" t="s">
        <v>1685</v>
      </c>
      <c r="H26" s="7"/>
      <c r="I26" s="80" t="s">
        <v>1686</v>
      </c>
      <c r="J26" s="111" t="s">
        <v>1687</v>
      </c>
      <c r="K26" s="111" t="s">
        <v>1688</v>
      </c>
      <c r="L26" s="111"/>
    </row>
    <row r="27" spans="1:12" ht="409.5" customHeight="1" x14ac:dyDescent="0.45">
      <c r="A27" s="230"/>
      <c r="B27" s="263"/>
      <c r="C27" s="142" t="str">
        <f>HYPERLINK("https://drive.google.com/drive/folders/1tZpK0QEK7fR8-fItZfJSnAhzR4bE-6ZU", "Lesson 85")</f>
        <v>Lesson 85</v>
      </c>
      <c r="D27" s="61" t="s">
        <v>1689</v>
      </c>
      <c r="E27" s="59" t="s">
        <v>1690</v>
      </c>
      <c r="F27" s="41" t="s">
        <v>1691</v>
      </c>
      <c r="G27" s="7" t="s">
        <v>1692</v>
      </c>
      <c r="H27" s="77" t="s">
        <v>1693</v>
      </c>
      <c r="I27" s="80" t="s">
        <v>1694</v>
      </c>
      <c r="J27" s="111" t="s">
        <v>1695</v>
      </c>
      <c r="K27" s="111" t="s">
        <v>1696</v>
      </c>
      <c r="L27" s="111" t="s">
        <v>1697</v>
      </c>
    </row>
    <row r="28" spans="1:12" ht="409.5" customHeight="1" x14ac:dyDescent="0.45">
      <c r="A28" s="230"/>
      <c r="B28" s="263"/>
      <c r="C28" s="142" t="str">
        <f>HYPERLINK("https://drive.google.com/drive/folders/1tZmV-Co3onLmlRzZyPwG-bYbje8Hbmns", "Lesson 86")</f>
        <v>Lesson 86</v>
      </c>
      <c r="D28" s="61" t="s">
        <v>1698</v>
      </c>
      <c r="E28" s="59" t="s">
        <v>1699</v>
      </c>
      <c r="F28" s="41" t="s">
        <v>1700</v>
      </c>
      <c r="G28" s="7" t="s">
        <v>1701</v>
      </c>
      <c r="H28" s="79" t="s">
        <v>1702</v>
      </c>
      <c r="I28" s="80" t="s">
        <v>1703</v>
      </c>
      <c r="J28" s="111" t="s">
        <v>1704</v>
      </c>
      <c r="K28" s="111" t="s">
        <v>1705</v>
      </c>
      <c r="L28" s="111" t="s">
        <v>1706</v>
      </c>
    </row>
    <row r="29" spans="1:12" ht="267.75" customHeight="1" x14ac:dyDescent="0.45">
      <c r="A29" s="230"/>
      <c r="B29" s="263"/>
      <c r="C29" s="142" t="str">
        <f>HYPERLINK("https://drive.google.com/drive/folders/1tXlYybMk59UnVb1xg4_i4FubV8HoUqgI", "Lesson 87")</f>
        <v>Lesson 87</v>
      </c>
      <c r="D29" s="61" t="s">
        <v>1707</v>
      </c>
      <c r="E29" s="59" t="s">
        <v>1708</v>
      </c>
      <c r="F29" s="41" t="s">
        <v>1709</v>
      </c>
      <c r="G29" s="7" t="s">
        <v>1710</v>
      </c>
      <c r="H29" s="76" t="s">
        <v>1711</v>
      </c>
      <c r="I29" s="80" t="s">
        <v>1712</v>
      </c>
      <c r="J29" s="111" t="s">
        <v>1713</v>
      </c>
      <c r="K29" s="111" t="s">
        <v>1714</v>
      </c>
      <c r="L29" s="111" t="s">
        <v>1715</v>
      </c>
    </row>
    <row r="30" spans="1:12" ht="114.75" customHeight="1" x14ac:dyDescent="0.45">
      <c r="A30" s="230"/>
      <c r="B30" s="238" t="s">
        <v>217</v>
      </c>
      <c r="C30" s="142" t="str">
        <f>HYPERLINK("https://drive.google.com/drive/folders/1tVh994s4UIrArP3j_V0anQAc5dqVN8OH", "Lesson 88")</f>
        <v>Lesson 88</v>
      </c>
      <c r="D30" s="58" t="s">
        <v>1716</v>
      </c>
      <c r="E30" s="59" t="s">
        <v>1717</v>
      </c>
      <c r="F30" s="41" t="s">
        <v>1718</v>
      </c>
      <c r="G30" s="7"/>
      <c r="H30" s="7"/>
      <c r="I30" s="80" t="s">
        <v>1719</v>
      </c>
      <c r="J30" s="111" t="s">
        <v>1720</v>
      </c>
      <c r="K30" s="111" t="s">
        <v>1721</v>
      </c>
      <c r="L30" s="111"/>
    </row>
    <row r="31" spans="1:12" ht="140.25" customHeight="1" x14ac:dyDescent="0.45">
      <c r="A31" s="230"/>
      <c r="B31" s="238"/>
      <c r="C31" s="142" t="str">
        <f>HYPERLINK("https://drive.google.com/drive/folders/1rz58TiKJGXFkDGEomDrqKk2oK8H28ou1", "Lesson 110")</f>
        <v>Lesson 110</v>
      </c>
      <c r="D31" s="59" t="s">
        <v>1722</v>
      </c>
      <c r="E31" s="59" t="s">
        <v>1723</v>
      </c>
      <c r="F31" s="41" t="s">
        <v>1724</v>
      </c>
      <c r="G31" s="7"/>
      <c r="H31" s="7" t="s">
        <v>1725</v>
      </c>
      <c r="I31" s="80" t="s">
        <v>1726</v>
      </c>
      <c r="J31" s="111" t="s">
        <v>1727</v>
      </c>
      <c r="K31" s="111" t="s">
        <v>1728</v>
      </c>
      <c r="L31" s="111"/>
    </row>
    <row r="32" spans="1:12" ht="153" customHeight="1" x14ac:dyDescent="0.45">
      <c r="A32" s="230"/>
      <c r="B32" s="238"/>
      <c r="C32" s="142" t="str">
        <f>HYPERLINK("https://drive.google.com/drive/folders/1rymwRjs3ZvXJ5MjA7q6KNORjMfAtog6y", "Lesson 111")</f>
        <v>Lesson 111</v>
      </c>
      <c r="D32" s="62" t="s">
        <v>1729</v>
      </c>
      <c r="E32" s="62" t="s">
        <v>1730</v>
      </c>
      <c r="F32" s="49" t="s">
        <v>1731</v>
      </c>
      <c r="G32" s="7"/>
      <c r="H32" s="7"/>
      <c r="I32" s="80" t="s">
        <v>1732</v>
      </c>
      <c r="J32" s="111" t="s">
        <v>1733</v>
      </c>
      <c r="K32" s="111" t="s">
        <v>1734</v>
      </c>
      <c r="L32" s="111"/>
    </row>
    <row r="33" spans="1:12" ht="140.25" customHeight="1" x14ac:dyDescent="0.45">
      <c r="A33" s="230"/>
      <c r="B33" s="238"/>
      <c r="C33" s="142" t="str">
        <f>HYPERLINK("https://drive.google.com/drive/folders/1sLsUG1aTja4vL4_dBs5CvIKZ--PV3Rid", "Lesson 112")</f>
        <v>Lesson 112</v>
      </c>
      <c r="D33" s="62" t="s">
        <v>1735</v>
      </c>
      <c r="E33" s="62" t="s">
        <v>1736</v>
      </c>
      <c r="F33" s="49" t="s">
        <v>1737</v>
      </c>
      <c r="G33" s="7"/>
      <c r="H33" s="7"/>
      <c r="I33" s="80" t="s">
        <v>1738</v>
      </c>
      <c r="J33" s="111" t="s">
        <v>1739</v>
      </c>
      <c r="K33" s="111" t="s">
        <v>1740</v>
      </c>
      <c r="L33" s="111"/>
    </row>
    <row r="34" spans="1:12" ht="63.75" customHeight="1" x14ac:dyDescent="0.45">
      <c r="A34" s="230"/>
      <c r="B34" s="238"/>
      <c r="C34" s="234" t="s">
        <v>144</v>
      </c>
      <c r="D34" s="235"/>
      <c r="E34" s="235"/>
      <c r="F34" s="236"/>
      <c r="G34" s="7"/>
      <c r="H34" s="7"/>
      <c r="I34" s="76" t="s">
        <v>144</v>
      </c>
      <c r="J34" s="111"/>
      <c r="K34" s="111"/>
      <c r="L34" s="111" t="s">
        <v>1741</v>
      </c>
    </row>
    <row r="35" spans="1:12" ht="267.75" customHeight="1" x14ac:dyDescent="0.45">
      <c r="A35" s="230"/>
      <c r="B35" s="238"/>
      <c r="C35" s="143" t="str">
        <f>HYPERLINK("https://drive.google.com/drive/folders/1sQ5gRHUeBEbMN8ad2GmuswfWw-f6vLDv", "Lesson 21")</f>
        <v>Lesson 21</v>
      </c>
      <c r="D35" s="6" t="s">
        <v>1742</v>
      </c>
      <c r="E35" s="56" t="s">
        <v>1743</v>
      </c>
      <c r="F35" s="140" t="s">
        <v>1744</v>
      </c>
      <c r="G35" s="16" t="s">
        <v>1745</v>
      </c>
      <c r="H35" s="76" t="s">
        <v>1746</v>
      </c>
      <c r="I35" s="80" t="s">
        <v>1747</v>
      </c>
      <c r="J35" s="111" t="s">
        <v>1748</v>
      </c>
      <c r="K35" s="111" t="s">
        <v>1749</v>
      </c>
      <c r="L35" s="111" t="s">
        <v>1750</v>
      </c>
    </row>
    <row r="36" spans="1:12" ht="267.75" customHeight="1" x14ac:dyDescent="0.45">
      <c r="A36" s="230"/>
      <c r="B36" s="238"/>
      <c r="C36" s="143" t="str">
        <f>HYPERLINK("https://drive.google.com/drive/folders/1sPxuaAyC-v2Nq8oG9BOt5xQozsnoJoOX", "Lesson 22")</f>
        <v>Lesson 22</v>
      </c>
      <c r="D36" s="6" t="s">
        <v>1751</v>
      </c>
      <c r="E36" s="56" t="s">
        <v>1752</v>
      </c>
      <c r="F36" s="140" t="s">
        <v>1753</v>
      </c>
      <c r="G36" s="7" t="s">
        <v>1754</v>
      </c>
      <c r="H36" s="76" t="s">
        <v>1755</v>
      </c>
      <c r="I36" s="80" t="s">
        <v>1756</v>
      </c>
      <c r="J36" s="111" t="s">
        <v>1757</v>
      </c>
      <c r="K36" s="111" t="s">
        <v>1758</v>
      </c>
      <c r="L36" s="111" t="s">
        <v>1759</v>
      </c>
    </row>
    <row r="37" spans="1:12" ht="140.25" customHeight="1" x14ac:dyDescent="0.45">
      <c r="A37" s="230"/>
      <c r="B37" s="238"/>
      <c r="C37" s="143" t="str">
        <f>HYPERLINK("https://drive.google.com/drive/folders/1sPkzCXvk7kKnz5z2PgDZW29PboLdm7A-", "Lesson 23")</f>
        <v>Lesson 23</v>
      </c>
      <c r="D37" s="56" t="s">
        <v>1760</v>
      </c>
      <c r="E37" s="56" t="s">
        <v>1761</v>
      </c>
      <c r="F37" s="140" t="s">
        <v>1762</v>
      </c>
      <c r="G37" s="7" t="s">
        <v>1763</v>
      </c>
      <c r="H37" s="76" t="s">
        <v>1764</v>
      </c>
      <c r="I37" s="80" t="s">
        <v>1765</v>
      </c>
      <c r="J37" s="111" t="s">
        <v>1766</v>
      </c>
      <c r="K37" s="111" t="s">
        <v>1767</v>
      </c>
      <c r="L37" s="117" t="s">
        <v>1768</v>
      </c>
    </row>
    <row r="38" spans="1:12" ht="76.5" customHeight="1" x14ac:dyDescent="0.45">
      <c r="A38" s="230"/>
      <c r="B38" s="238"/>
      <c r="C38" s="143" t="str">
        <f>HYPERLINK("https://drive.google.com/drive/folders/1sPJ5GY3VbXQbL4pBMflLNdr6Doh8i9Py", "Lesson 24")</f>
        <v>Lesson 24</v>
      </c>
      <c r="D38" s="57" t="s">
        <v>1769</v>
      </c>
      <c r="E38" s="56" t="s">
        <v>1770</v>
      </c>
      <c r="F38" s="140" t="s">
        <v>1771</v>
      </c>
      <c r="G38" s="7"/>
      <c r="H38" s="7"/>
      <c r="I38" s="80" t="s">
        <v>1772</v>
      </c>
      <c r="J38" s="111" t="s">
        <v>1773</v>
      </c>
      <c r="K38" s="111" t="s">
        <v>1774</v>
      </c>
      <c r="L38" s="111"/>
    </row>
    <row r="39" spans="1:12" ht="297.75" customHeight="1" x14ac:dyDescent="0.45">
      <c r="A39" s="230"/>
      <c r="B39" s="238"/>
      <c r="C39" s="123" t="str">
        <f>HYPERLINK("https://drive.google.com/drive/folders/1s8RHGk5P62XYdcBc86ps4jJN0m297cPk", "Lesson 13")</f>
        <v>Lesson 13</v>
      </c>
      <c r="D39" s="4" t="s">
        <v>1775</v>
      </c>
      <c r="E39" s="4" t="s">
        <v>1776</v>
      </c>
      <c r="F39" s="140" t="s">
        <v>1777</v>
      </c>
      <c r="G39" s="63" t="s">
        <v>1778</v>
      </c>
      <c r="H39" s="144" t="s">
        <v>1779</v>
      </c>
      <c r="I39" s="80" t="s">
        <v>1780</v>
      </c>
      <c r="J39" s="111" t="s">
        <v>1781</v>
      </c>
      <c r="K39" s="111" t="s">
        <v>1782</v>
      </c>
      <c r="L39" s="111"/>
    </row>
    <row r="40" spans="1:12" ht="162.75" customHeight="1" x14ac:dyDescent="0.45">
      <c r="A40" s="230"/>
      <c r="B40" s="238"/>
      <c r="C40" s="123" t="str">
        <f>HYPERLINK("https://drive.google.com/drive/folders/1s4puTV-Bb_eVWyMNlqFVde8LzBstSL_F", "Lesson 15")</f>
        <v>Lesson 15</v>
      </c>
      <c r="D40" s="4" t="s">
        <v>1783</v>
      </c>
      <c r="E40" s="4" t="s">
        <v>1784</v>
      </c>
      <c r="F40" s="140" t="s">
        <v>1785</v>
      </c>
      <c r="G40" s="64" t="s">
        <v>1786</v>
      </c>
      <c r="H40" s="78" t="s">
        <v>1779</v>
      </c>
      <c r="I40" s="80" t="s">
        <v>1787</v>
      </c>
      <c r="J40" s="111" t="s">
        <v>1788</v>
      </c>
      <c r="K40" s="111" t="s">
        <v>1789</v>
      </c>
      <c r="L40" s="111"/>
    </row>
    <row r="41" spans="1:12" ht="338.25" customHeight="1" x14ac:dyDescent="0.45">
      <c r="A41" s="230"/>
      <c r="B41" s="238"/>
      <c r="C41" s="123" t="str">
        <f>HYPERLINK("https://drive.google.com/drive/folders/1s4meX5ZV4j9r8iAcbqRIphUhH1dJEOGf", "Lesson 16")</f>
        <v>Lesson 16</v>
      </c>
      <c r="D41" s="4" t="s">
        <v>1790</v>
      </c>
      <c r="E41" s="4" t="s">
        <v>1791</v>
      </c>
      <c r="F41" s="140" t="s">
        <v>1792</v>
      </c>
      <c r="G41" s="65" t="s">
        <v>1793</v>
      </c>
      <c r="H41" s="78"/>
      <c r="I41" s="80" t="s">
        <v>1794</v>
      </c>
      <c r="J41" s="111" t="s">
        <v>1795</v>
      </c>
      <c r="K41" s="111" t="s">
        <v>1796</v>
      </c>
      <c r="L41" s="111"/>
    </row>
    <row r="42" spans="1:12" ht="280.5" customHeight="1" x14ac:dyDescent="0.45">
      <c r="A42" s="230"/>
      <c r="B42" s="238"/>
      <c r="C42" s="143" t="str">
        <f>HYPERLINK("https://drive.google.com/drive/folders/1s3WOIehU53vAdWw8Z-sdNI4NXwwgByLS", "Lesson 17")</f>
        <v>Lesson 17</v>
      </c>
      <c r="D42" s="56" t="s">
        <v>1797</v>
      </c>
      <c r="E42" s="56" t="s">
        <v>1798</v>
      </c>
      <c r="F42" s="140" t="s">
        <v>1799</v>
      </c>
      <c r="G42" s="7" t="s">
        <v>1800</v>
      </c>
      <c r="H42" s="76" t="s">
        <v>1801</v>
      </c>
      <c r="I42" s="80" t="s">
        <v>1802</v>
      </c>
      <c r="J42" s="111" t="s">
        <v>1803</v>
      </c>
      <c r="K42" s="111" t="s">
        <v>1804</v>
      </c>
      <c r="L42" s="117" t="s">
        <v>1805</v>
      </c>
    </row>
    <row r="43" spans="1:12" ht="114.75" customHeight="1" x14ac:dyDescent="0.45">
      <c r="A43" s="230"/>
      <c r="B43" s="238"/>
      <c r="C43" s="143" t="str">
        <f>HYPERLINK("https://drive.google.com/drive/folders/1sSn4Q3tdfGePV9m6M3wh3W9GUr2V76hG", "Lesson 18")</f>
        <v>Lesson 18</v>
      </c>
      <c r="D43" s="66" t="s">
        <v>1806</v>
      </c>
      <c r="E43" s="66" t="s">
        <v>1807</v>
      </c>
      <c r="F43" s="145" t="s">
        <v>1808</v>
      </c>
      <c r="G43" s="7" t="s">
        <v>1809</v>
      </c>
      <c r="H43" s="76" t="s">
        <v>1810</v>
      </c>
      <c r="I43" s="80" t="s">
        <v>1811</v>
      </c>
      <c r="J43" s="111" t="s">
        <v>1812</v>
      </c>
      <c r="K43" s="111" t="s">
        <v>1813</v>
      </c>
      <c r="L43" s="111" t="s">
        <v>1814</v>
      </c>
    </row>
    <row r="44" spans="1:12" ht="280.5" customHeight="1" x14ac:dyDescent="0.45">
      <c r="A44" s="230"/>
      <c r="B44" s="238"/>
      <c r="C44" s="143" t="str">
        <f>HYPERLINK("https://drive.google.com/drive/folders/1sSmBTmOUpSs34tFkgLFSDFXLdoiaLkpF", "Lesson 19")</f>
        <v>Lesson 19</v>
      </c>
      <c r="D44" s="66" t="s">
        <v>1815</v>
      </c>
      <c r="E44" s="66" t="s">
        <v>1816</v>
      </c>
      <c r="F44" s="145" t="s">
        <v>1817</v>
      </c>
      <c r="G44" s="7" t="s">
        <v>1818</v>
      </c>
      <c r="H44" s="76" t="s">
        <v>1819</v>
      </c>
      <c r="I44" s="80" t="s">
        <v>1820</v>
      </c>
      <c r="J44" s="111" t="s">
        <v>1821</v>
      </c>
      <c r="K44" s="111" t="s">
        <v>1822</v>
      </c>
      <c r="L44" s="111" t="s">
        <v>1823</v>
      </c>
    </row>
    <row r="45" spans="1:12" ht="257.25" customHeight="1" x14ac:dyDescent="0.45">
      <c r="A45" s="230"/>
      <c r="B45" s="238"/>
      <c r="C45" s="146" t="str">
        <f>HYPERLINK("https://drive.google.com/drive/folders/1sQXpYtHJ4H99QeHVW6L4rxTTGRznlsE3", "Lesson 20")</f>
        <v>Lesson 20</v>
      </c>
      <c r="D45" s="67" t="s">
        <v>1824</v>
      </c>
      <c r="E45" s="67" t="s">
        <v>1816</v>
      </c>
      <c r="F45" s="145" t="s">
        <v>1817</v>
      </c>
      <c r="G45" s="7" t="s">
        <v>1825</v>
      </c>
      <c r="H45" s="68" t="s">
        <v>1826</v>
      </c>
      <c r="I45" s="80" t="s">
        <v>1827</v>
      </c>
      <c r="J45" s="111" t="s">
        <v>1828</v>
      </c>
      <c r="K45" s="111" t="s">
        <v>1829</v>
      </c>
      <c r="L45" s="111" t="s">
        <v>1830</v>
      </c>
    </row>
    <row r="46" spans="1:12" ht="275.64999999999998" customHeight="1" x14ac:dyDescent="0.45">
      <c r="A46" s="230"/>
      <c r="B46" s="238"/>
      <c r="C46" s="143" t="str">
        <f>HYPERLINK("https://drive.google.com/drive/folders/1tL3qK010ZRyNdKrYYxvxH_Z8Dkxd80vP", "Lesson 74")</f>
        <v>Lesson 74</v>
      </c>
      <c r="D46" s="69" t="s">
        <v>1831</v>
      </c>
      <c r="E46" s="66" t="s">
        <v>1832</v>
      </c>
      <c r="F46" s="145" t="s">
        <v>1833</v>
      </c>
      <c r="G46" s="11" t="s">
        <v>1834</v>
      </c>
      <c r="H46" s="77" t="s">
        <v>1835</v>
      </c>
      <c r="I46" s="80" t="s">
        <v>1836</v>
      </c>
      <c r="J46" s="111" t="s">
        <v>1837</v>
      </c>
      <c r="K46" s="111" t="s">
        <v>1838</v>
      </c>
      <c r="L46" s="111" t="s">
        <v>1839</v>
      </c>
    </row>
    <row r="47" spans="1:12" ht="328.15" customHeight="1" x14ac:dyDescent="0.45">
      <c r="A47" s="230"/>
      <c r="B47" s="238"/>
      <c r="C47" s="143" t="str">
        <f>HYPERLINK("https://drive.google.com/drive/folders/1tKQ_vF4_A3f3kZzujKfwIpNn1tF8Y6CE", "Lesson 75")</f>
        <v>Lesson 75</v>
      </c>
      <c r="D47" s="69" t="s">
        <v>1840</v>
      </c>
      <c r="E47" s="66" t="s">
        <v>1841</v>
      </c>
      <c r="F47" s="145" t="s">
        <v>1785</v>
      </c>
      <c r="G47" s="11" t="s">
        <v>1842</v>
      </c>
      <c r="H47" s="77" t="s">
        <v>1843</v>
      </c>
      <c r="I47" s="80" t="s">
        <v>1844</v>
      </c>
      <c r="J47" s="111" t="s">
        <v>1845</v>
      </c>
      <c r="K47" s="111" t="s">
        <v>1846</v>
      </c>
      <c r="L47" s="111" t="s">
        <v>1847</v>
      </c>
    </row>
    <row r="48" spans="1:12" ht="91.9" customHeight="1" x14ac:dyDescent="0.45">
      <c r="A48" s="230"/>
      <c r="B48" s="238"/>
      <c r="C48" s="143" t="str">
        <f>HYPERLINK("https://drive.google.com/drive/folders/1tPzEscqARTZeYosXDqjGId8RmOqOY5v7", "Lesson 76")</f>
        <v>Lesson 76</v>
      </c>
      <c r="D48" s="66" t="s">
        <v>1848</v>
      </c>
      <c r="E48" s="66" t="s">
        <v>1849</v>
      </c>
      <c r="F48" s="145" t="s">
        <v>1850</v>
      </c>
      <c r="G48" s="11" t="s">
        <v>1851</v>
      </c>
      <c r="H48" s="77" t="s">
        <v>1852</v>
      </c>
      <c r="I48" s="80" t="s">
        <v>1853</v>
      </c>
      <c r="J48" s="111" t="s">
        <v>1854</v>
      </c>
      <c r="K48" s="111" t="s">
        <v>1855</v>
      </c>
      <c r="L48" s="111" t="s">
        <v>1856</v>
      </c>
    </row>
    <row r="49" spans="1:12" ht="196.9" customHeight="1" x14ac:dyDescent="0.45">
      <c r="A49" s="230"/>
      <c r="B49" s="238"/>
      <c r="C49" s="143" t="str">
        <f>HYPERLINK("https://drive.google.com/drive/folders/1tPUrz7Y2EwWPTzkDAF-u-3FUPojpWB30", "Lesson 77")</f>
        <v>Lesson 77</v>
      </c>
      <c r="D49" s="69" t="s">
        <v>1857</v>
      </c>
      <c r="E49" s="66" t="s">
        <v>1858</v>
      </c>
      <c r="F49" s="145" t="s">
        <v>1859</v>
      </c>
      <c r="G49" s="11"/>
      <c r="H49" s="11"/>
      <c r="I49" s="80" t="s">
        <v>1860</v>
      </c>
      <c r="J49" s="111" t="s">
        <v>1861</v>
      </c>
      <c r="K49" s="111" t="s">
        <v>1862</v>
      </c>
      <c r="L49" s="117"/>
    </row>
    <row r="50" spans="1:12" ht="63.75" customHeight="1" x14ac:dyDescent="0.45">
      <c r="A50" s="230"/>
      <c r="B50" s="238"/>
      <c r="C50" s="234" t="s">
        <v>327</v>
      </c>
      <c r="D50" s="235"/>
      <c r="E50" s="235"/>
      <c r="F50" s="236"/>
      <c r="G50" s="7"/>
      <c r="H50" s="7"/>
      <c r="I50" s="76" t="s">
        <v>327</v>
      </c>
      <c r="J50" s="111"/>
      <c r="K50" s="111"/>
      <c r="L50" s="111" t="s">
        <v>1863</v>
      </c>
    </row>
    <row r="51" spans="1:12" ht="140.25" customHeight="1" x14ac:dyDescent="0.45">
      <c r="A51" s="230"/>
      <c r="B51" s="227" t="s">
        <v>329</v>
      </c>
      <c r="C51" s="137" t="str">
        <f>HYPERLINK("https://drive.google.com/drive/folders/1sMWea9iniYF0AjR8di30uxODH4vJZhox", "Lesson 27")</f>
        <v>Lesson 27</v>
      </c>
      <c r="D51" s="21" t="s">
        <v>1864</v>
      </c>
      <c r="E51" s="21" t="s">
        <v>1865</v>
      </c>
      <c r="F51" s="147" t="s">
        <v>1866</v>
      </c>
      <c r="G51" s="7" t="s">
        <v>1867</v>
      </c>
      <c r="H51" s="76" t="s">
        <v>1868</v>
      </c>
      <c r="I51" s="80" t="s">
        <v>1869</v>
      </c>
      <c r="J51" s="111" t="s">
        <v>1870</v>
      </c>
      <c r="K51" s="111" t="s">
        <v>1871</v>
      </c>
      <c r="L51" s="117" t="s">
        <v>1872</v>
      </c>
    </row>
    <row r="52" spans="1:12" ht="191.25" customHeight="1" x14ac:dyDescent="0.45">
      <c r="A52" s="230"/>
      <c r="B52" s="227"/>
      <c r="C52" s="137" t="str">
        <f>HYPERLINK("https://drive.google.com/drive/folders/1sWPjXDqh2r3m1Sx9OVQfbfArCCeH35FN", "Lesson 28")</f>
        <v>Lesson 28</v>
      </c>
      <c r="D52" s="21" t="s">
        <v>1873</v>
      </c>
      <c r="E52" s="21" t="s">
        <v>1874</v>
      </c>
      <c r="F52" s="147" t="s">
        <v>1875</v>
      </c>
      <c r="G52" s="7" t="s">
        <v>1876</v>
      </c>
      <c r="H52" s="76" t="s">
        <v>1877</v>
      </c>
      <c r="I52" s="80" t="s">
        <v>1878</v>
      </c>
      <c r="J52" s="111" t="s">
        <v>1879</v>
      </c>
      <c r="K52" s="111" t="s">
        <v>1880</v>
      </c>
      <c r="L52" s="111" t="s">
        <v>1881</v>
      </c>
    </row>
    <row r="53" spans="1:12" ht="127.5" customHeight="1" x14ac:dyDescent="0.45">
      <c r="A53" s="230"/>
      <c r="B53" s="227"/>
      <c r="C53" s="137" t="str">
        <f>HYPERLINK("https://drive.google.com/drive/folders/1sVFC8-dPL1IeNYaiKMWkSE0UB8sJiXJy", "Lesson 29")</f>
        <v>Lesson 29</v>
      </c>
      <c r="D53" s="70" t="s">
        <v>1882</v>
      </c>
      <c r="E53" s="21" t="s">
        <v>1883</v>
      </c>
      <c r="F53" s="147" t="s">
        <v>1884</v>
      </c>
      <c r="G53" s="7" t="s">
        <v>1885</v>
      </c>
      <c r="H53" s="76" t="s">
        <v>1886</v>
      </c>
      <c r="I53" s="80" t="s">
        <v>1887</v>
      </c>
      <c r="J53" s="111" t="s">
        <v>1888</v>
      </c>
      <c r="K53" s="111" t="s">
        <v>1889</v>
      </c>
      <c r="L53" s="117" t="s">
        <v>1890</v>
      </c>
    </row>
    <row r="54" spans="1:12" ht="89.25" customHeight="1" x14ac:dyDescent="0.45">
      <c r="A54" s="230"/>
      <c r="B54" s="227"/>
      <c r="C54" s="137" t="str">
        <f>HYPERLINK("https://drive.google.com/drive/folders/1skIwkbLhZ7LKpRW9L8aKqiTn3TmPlkwY", "Lesson 30")</f>
        <v>Lesson 30</v>
      </c>
      <c r="D54" s="70" t="s">
        <v>1891</v>
      </c>
      <c r="E54" s="21" t="s">
        <v>1892</v>
      </c>
      <c r="F54" s="147" t="s">
        <v>1884</v>
      </c>
      <c r="G54" s="141" t="s">
        <v>1893</v>
      </c>
      <c r="H54" s="76" t="s">
        <v>1894</v>
      </c>
      <c r="I54" s="80" t="s">
        <v>1895</v>
      </c>
      <c r="J54" s="111" t="s">
        <v>1896</v>
      </c>
      <c r="K54" s="111" t="s">
        <v>1897</v>
      </c>
      <c r="L54" s="111" t="s">
        <v>1898</v>
      </c>
    </row>
    <row r="55" spans="1:12" ht="236.25" customHeight="1" x14ac:dyDescent="0.45">
      <c r="A55" s="230"/>
      <c r="B55" s="227"/>
      <c r="C55" s="148" t="str">
        <f>HYPERLINK("https://drive.google.com/drive/folders/1tP4bOSgbnesetVxoXgtPaseAZkaIJOkh", "Lesson 78")</f>
        <v>Lesson 78</v>
      </c>
      <c r="D55" s="69" t="s">
        <v>1899</v>
      </c>
      <c r="E55" s="66" t="s">
        <v>1900</v>
      </c>
      <c r="F55" s="147" t="s">
        <v>1901</v>
      </c>
      <c r="G55" s="11" t="s">
        <v>1902</v>
      </c>
      <c r="H55" s="77"/>
      <c r="I55" s="80" t="s">
        <v>1903</v>
      </c>
      <c r="J55" s="111" t="s">
        <v>1904</v>
      </c>
      <c r="K55" s="111" t="s">
        <v>1905</v>
      </c>
      <c r="L55" s="111" t="s">
        <v>1906</v>
      </c>
    </row>
    <row r="56" spans="1:12" ht="170.65" customHeight="1" x14ac:dyDescent="0.45">
      <c r="A56" s="230"/>
      <c r="B56" s="227"/>
      <c r="C56" s="148" t="str">
        <f>HYPERLINK("https://drive.google.com/drive/folders/1tS3a4K3pJYE4KczxCYZjGDDwHqoDXvYk", "Lesson 81")</f>
        <v>Lesson 81</v>
      </c>
      <c r="D56" s="66" t="s">
        <v>1907</v>
      </c>
      <c r="E56" s="66" t="s">
        <v>1908</v>
      </c>
      <c r="F56" s="145" t="s">
        <v>1909</v>
      </c>
      <c r="G56" s="11" t="s">
        <v>1910</v>
      </c>
      <c r="H56" s="77" t="s">
        <v>1911</v>
      </c>
      <c r="I56" s="80" t="s">
        <v>1912</v>
      </c>
      <c r="J56" s="111" t="s">
        <v>1913</v>
      </c>
      <c r="K56" s="111" t="s">
        <v>1914</v>
      </c>
      <c r="L56" s="111" t="s">
        <v>1915</v>
      </c>
    </row>
    <row r="57" spans="1:12" ht="131.25" customHeight="1" x14ac:dyDescent="0.45">
      <c r="A57" s="230"/>
      <c r="B57" s="227"/>
      <c r="C57" s="148" t="str">
        <f>HYPERLINK("https://drive.google.com/drive/folders/1tQ7xFc-Z_Wud6t0eTQKEIGv0CkbcobIn", "Lesson 82")</f>
        <v>Lesson 82</v>
      </c>
      <c r="D57" s="66" t="s">
        <v>1916</v>
      </c>
      <c r="E57" s="66" t="s">
        <v>1917</v>
      </c>
      <c r="F57" s="147" t="s">
        <v>1901</v>
      </c>
      <c r="G57" s="11" t="s">
        <v>1918</v>
      </c>
      <c r="H57" s="77" t="s">
        <v>1919</v>
      </c>
      <c r="I57" s="80" t="s">
        <v>1920</v>
      </c>
      <c r="J57" s="111" t="s">
        <v>1921</v>
      </c>
      <c r="K57" s="111" t="s">
        <v>1922</v>
      </c>
      <c r="L57" s="111" t="s">
        <v>1923</v>
      </c>
    </row>
    <row r="58" spans="1:12" ht="157.5" customHeight="1" x14ac:dyDescent="0.45">
      <c r="A58" s="230"/>
      <c r="B58" s="227"/>
      <c r="C58" s="148" t="str">
        <f>HYPERLINK("https://drive.google.com/drive/folders/1tcVTWlFyV1UY68X7bPsUvueXNCSTjt4-", "Lesson 83")</f>
        <v>Lesson 83</v>
      </c>
      <c r="D58" s="69" t="s">
        <v>1924</v>
      </c>
      <c r="E58" s="66" t="s">
        <v>1925</v>
      </c>
      <c r="F58" s="145" t="s">
        <v>1926</v>
      </c>
      <c r="G58" s="11" t="s">
        <v>1927</v>
      </c>
      <c r="H58" s="77" t="s">
        <v>1928</v>
      </c>
      <c r="I58" s="80" t="s">
        <v>1929</v>
      </c>
      <c r="J58" s="111" t="s">
        <v>1930</v>
      </c>
      <c r="K58" s="111" t="s">
        <v>1931</v>
      </c>
      <c r="L58" s="111" t="s">
        <v>1932</v>
      </c>
    </row>
    <row r="59" spans="1:12" ht="341.25" customHeight="1" x14ac:dyDescent="0.45">
      <c r="A59" s="230"/>
      <c r="B59" s="227"/>
      <c r="C59" s="148" t="str">
        <f>HYPERLINK("https://drive.google.com/drive/folders/1tabZ3CKTLSFZbBb2um4X9KNLM4PzOImB", "Lesson 84")</f>
        <v>Lesson 84</v>
      </c>
      <c r="D59" s="71" t="s">
        <v>1933</v>
      </c>
      <c r="E59" s="72" t="s">
        <v>1934</v>
      </c>
      <c r="F59" s="149" t="s">
        <v>1935</v>
      </c>
      <c r="G59" s="11" t="s">
        <v>1936</v>
      </c>
      <c r="H59" s="77" t="s">
        <v>1937</v>
      </c>
      <c r="I59" s="80" t="s">
        <v>1938</v>
      </c>
      <c r="J59" s="111" t="s">
        <v>1939</v>
      </c>
      <c r="K59" s="111" t="s">
        <v>1940</v>
      </c>
      <c r="L59" s="111" t="s">
        <v>1941</v>
      </c>
    </row>
    <row r="60" spans="1:12" ht="267.75" customHeight="1" x14ac:dyDescent="0.45">
      <c r="A60" s="230"/>
      <c r="B60" s="227"/>
      <c r="C60" s="137" t="str">
        <f>HYPERLINK("https://drive.google.com/drive/folders/1sjwjJesAZD98ViNYVd4087X_hF7mMIJc", "Lesson 31")</f>
        <v>Lesson 31</v>
      </c>
      <c r="D60" s="73" t="s">
        <v>1942</v>
      </c>
      <c r="E60" s="28" t="s">
        <v>1943</v>
      </c>
      <c r="F60" s="28" t="s">
        <v>1505</v>
      </c>
      <c r="G60" s="7" t="s">
        <v>1944</v>
      </c>
      <c r="H60" s="76" t="s">
        <v>1945</v>
      </c>
      <c r="I60" s="80" t="s">
        <v>1946</v>
      </c>
      <c r="J60" s="111" t="s">
        <v>1947</v>
      </c>
      <c r="K60" s="111" t="s">
        <v>1948</v>
      </c>
      <c r="L60" s="111" t="s">
        <v>1949</v>
      </c>
    </row>
    <row r="61" spans="1:12" ht="280.5" customHeight="1" x14ac:dyDescent="0.45">
      <c r="A61" s="230"/>
      <c r="B61" s="227"/>
      <c r="C61" s="137" t="str">
        <f>HYPERLINK("https://drive.google.com/drive/folders/1sjdCAEV_7vYPcjeB3vdAo3V-2-Xl0nCL", "Lesson 32")</f>
        <v>Lesson 32</v>
      </c>
      <c r="D61" s="28" t="s">
        <v>1950</v>
      </c>
      <c r="E61" s="28" t="s">
        <v>1951</v>
      </c>
      <c r="F61" s="28" t="s">
        <v>1952</v>
      </c>
      <c r="G61" s="60" t="s">
        <v>1953</v>
      </c>
      <c r="H61" s="76" t="s">
        <v>1954</v>
      </c>
      <c r="I61" s="80" t="s">
        <v>1955</v>
      </c>
      <c r="J61" s="111" t="s">
        <v>1956</v>
      </c>
      <c r="K61" s="117" t="s">
        <v>1957</v>
      </c>
      <c r="L61" s="111" t="s">
        <v>1958</v>
      </c>
    </row>
    <row r="62" spans="1:12" ht="102" customHeight="1" x14ac:dyDescent="0.45">
      <c r="A62" s="230"/>
      <c r="B62" s="227"/>
      <c r="C62" s="150" t="str">
        <f>HYPERLINK("https://drive.google.com/drive/folders/1sjOf1m4gnEWYoBiUnUW1Jmo7FEfT3gCd", "Lesson 33")</f>
        <v>Lesson 33</v>
      </c>
      <c r="D62" s="74" t="s">
        <v>1959</v>
      </c>
      <c r="E62" s="74" t="s">
        <v>1960</v>
      </c>
      <c r="F62" s="74" t="s">
        <v>1961</v>
      </c>
      <c r="G62" s="7" t="s">
        <v>1962</v>
      </c>
      <c r="H62" s="119" t="s">
        <v>1963</v>
      </c>
      <c r="I62" s="80" t="s">
        <v>1964</v>
      </c>
      <c r="J62" s="111" t="s">
        <v>1965</v>
      </c>
      <c r="K62" s="111" t="s">
        <v>1966</v>
      </c>
      <c r="L62" s="111" t="s">
        <v>1967</v>
      </c>
    </row>
    <row r="63" spans="1:12" ht="216.75" customHeight="1" x14ac:dyDescent="0.45">
      <c r="A63" s="230"/>
      <c r="B63" s="227"/>
      <c r="C63" s="150" t="str">
        <f>HYPERLINK("https://drive.google.com/drive/folders/1shRF91_ePZ2Ss7dCpA9pd_NlGjnvRoBV", "Lesson 34")</f>
        <v>Lesson 34</v>
      </c>
      <c r="D63" s="74" t="s">
        <v>1968</v>
      </c>
      <c r="E63" s="74" t="s">
        <v>1969</v>
      </c>
      <c r="F63" s="28" t="s">
        <v>1970</v>
      </c>
      <c r="G63" s="7" t="s">
        <v>1971</v>
      </c>
      <c r="H63" s="7" t="s">
        <v>1972</v>
      </c>
      <c r="I63" s="80" t="s">
        <v>1973</v>
      </c>
      <c r="J63" s="111" t="s">
        <v>1974</v>
      </c>
      <c r="K63" s="111" t="s">
        <v>1975</v>
      </c>
      <c r="L63" s="111" t="s">
        <v>1976</v>
      </c>
    </row>
    <row r="64" spans="1:12" ht="89.25" customHeight="1" x14ac:dyDescent="0.45">
      <c r="A64" s="230"/>
      <c r="B64" s="227"/>
      <c r="C64" s="137" t="str">
        <f>HYPERLINK("https://drive.google.com/drive/folders/1sfaoziPlbWtK-YAHgyFK57hffv9m-afo", "Lesson 35")</f>
        <v>Lesson 35</v>
      </c>
      <c r="D64" s="28" t="s">
        <v>1977</v>
      </c>
      <c r="E64" s="28" t="s">
        <v>1978</v>
      </c>
      <c r="F64" s="28" t="s">
        <v>1979</v>
      </c>
      <c r="G64" s="7" t="s">
        <v>1980</v>
      </c>
      <c r="H64" s="76" t="s">
        <v>1981</v>
      </c>
      <c r="I64" s="80" t="s">
        <v>1982</v>
      </c>
      <c r="J64" s="111" t="s">
        <v>1983</v>
      </c>
      <c r="K64" s="111" t="s">
        <v>1984</v>
      </c>
      <c r="L64" s="117" t="s">
        <v>1985</v>
      </c>
    </row>
    <row r="65" spans="1:12" ht="63.75" customHeight="1" x14ac:dyDescent="0.45">
      <c r="A65" s="231"/>
      <c r="B65" s="228"/>
      <c r="C65" s="234" t="s">
        <v>422</v>
      </c>
      <c r="D65" s="235"/>
      <c r="E65" s="235"/>
      <c r="F65" s="236"/>
      <c r="G65" s="7"/>
      <c r="H65" s="7"/>
      <c r="I65" s="76" t="s">
        <v>422</v>
      </c>
      <c r="J65" s="111"/>
      <c r="K65" s="111"/>
      <c r="L65" s="111"/>
    </row>
    <row r="66" spans="1:12" ht="178.5" customHeight="1" x14ac:dyDescent="0.45">
      <c r="A66" s="229" t="s">
        <v>453</v>
      </c>
      <c r="B66" s="237" t="s">
        <v>12</v>
      </c>
      <c r="C66" s="123" t="str">
        <f>HYPERLINK("https://drive.google.com/drive/folders/1sdS3CxyL9r9_IRWRIkxXuJvoqSkSCpFi", "Lesson 39")</f>
        <v>Lesson 39</v>
      </c>
      <c r="D66" s="49" t="s">
        <v>1986</v>
      </c>
      <c r="E66" s="49" t="s">
        <v>1987</v>
      </c>
      <c r="F66" s="49" t="s">
        <v>1988</v>
      </c>
      <c r="G66" s="7" t="s">
        <v>1989</v>
      </c>
      <c r="H66" s="76" t="s">
        <v>1990</v>
      </c>
      <c r="I66" s="80" t="s">
        <v>1991</v>
      </c>
      <c r="J66" s="111" t="s">
        <v>1992</v>
      </c>
      <c r="K66" s="111" t="s">
        <v>1993</v>
      </c>
      <c r="L66" s="111"/>
    </row>
    <row r="67" spans="1:12" ht="178.5" customHeight="1" x14ac:dyDescent="0.45">
      <c r="A67" s="230"/>
      <c r="B67" s="230"/>
      <c r="C67" s="123" t="str">
        <f>HYPERLINK("https://drive.google.com/drive/folders/1scEvK2ycaCJLXw1d2MSNn_m6mY34s5x7", "Lesson 40")</f>
        <v>Lesson 40</v>
      </c>
      <c r="D67" s="49" t="s">
        <v>1994</v>
      </c>
      <c r="E67" s="49" t="s">
        <v>1995</v>
      </c>
      <c r="F67" s="49" t="s">
        <v>1996</v>
      </c>
      <c r="G67" s="7" t="s">
        <v>1997</v>
      </c>
      <c r="H67" s="76" t="s">
        <v>1998</v>
      </c>
      <c r="I67" s="80" t="s">
        <v>1999</v>
      </c>
      <c r="J67" s="111" t="s">
        <v>2000</v>
      </c>
      <c r="K67" s="111" t="s">
        <v>2001</v>
      </c>
      <c r="L67" s="111" t="s">
        <v>2002</v>
      </c>
    </row>
    <row r="68" spans="1:12" ht="204" customHeight="1" x14ac:dyDescent="0.45">
      <c r="A68" s="230"/>
      <c r="B68" s="230"/>
      <c r="C68" s="143" t="str">
        <f>HYPERLINK("https://drive.google.com/drive/folders/1tfNFs_0buB_6RKUZC4H5lskowwciMmeZ", "Lesson 92")</f>
        <v>Lesson 92</v>
      </c>
      <c r="D68" s="49" t="s">
        <v>2003</v>
      </c>
      <c r="E68" s="62" t="s">
        <v>2004</v>
      </c>
      <c r="F68" s="49" t="s">
        <v>2005</v>
      </c>
      <c r="G68" s="7" t="s">
        <v>2006</v>
      </c>
      <c r="H68" s="76" t="s">
        <v>2007</v>
      </c>
      <c r="I68" s="80" t="s">
        <v>2008</v>
      </c>
      <c r="J68" s="111" t="s">
        <v>2009</v>
      </c>
      <c r="K68" s="111" t="s">
        <v>2010</v>
      </c>
      <c r="L68" s="111"/>
    </row>
    <row r="69" spans="1:12" ht="140.25" customHeight="1" x14ac:dyDescent="0.45">
      <c r="A69" s="230"/>
      <c r="B69" s="230"/>
      <c r="C69" s="143" t="str">
        <f>HYPERLINK("https://drive.google.com/drive/folders/1tn4k2rWo7oq-QJrPg6XliI8xrmLWxwmZ", "Lesson 93")</f>
        <v>Lesson 93</v>
      </c>
      <c r="D69" s="49" t="s">
        <v>2011</v>
      </c>
      <c r="E69" s="62" t="s">
        <v>2012</v>
      </c>
      <c r="F69" s="49" t="s">
        <v>2013</v>
      </c>
      <c r="G69" s="7" t="s">
        <v>2014</v>
      </c>
      <c r="H69" s="76" t="s">
        <v>2015</v>
      </c>
      <c r="I69" s="80" t="s">
        <v>2016</v>
      </c>
      <c r="J69" s="111" t="s">
        <v>2017</v>
      </c>
      <c r="K69" s="111" t="s">
        <v>2018</v>
      </c>
      <c r="L69" s="111" t="s">
        <v>2019</v>
      </c>
    </row>
    <row r="70" spans="1:12" ht="216.75" customHeight="1" x14ac:dyDescent="0.45">
      <c r="A70" s="230"/>
      <c r="B70" s="230"/>
      <c r="C70" s="123" t="str">
        <f>HYPERLINK("https://drive.google.com/drive/folders/1sfREZijJEom6L4jR0qbMrH2gNlqXo7qp", "Lesson 37")</f>
        <v>Lesson 37</v>
      </c>
      <c r="D70" s="49" t="s">
        <v>2020</v>
      </c>
      <c r="E70" s="49" t="s">
        <v>2021</v>
      </c>
      <c r="F70" s="49" t="s">
        <v>2022</v>
      </c>
      <c r="G70" s="7" t="s">
        <v>2023</v>
      </c>
      <c r="H70" s="76" t="s">
        <v>2024</v>
      </c>
      <c r="I70" s="80" t="s">
        <v>2025</v>
      </c>
      <c r="J70" s="111" t="s">
        <v>2026</v>
      </c>
      <c r="K70" s="111" t="s">
        <v>2027</v>
      </c>
      <c r="L70" s="111" t="s">
        <v>2028</v>
      </c>
    </row>
    <row r="71" spans="1:12" ht="140.25" customHeight="1" x14ac:dyDescent="0.45">
      <c r="A71" s="230"/>
      <c r="B71" s="230"/>
      <c r="C71" s="123" t="str">
        <f>HYPERLINK("https://drive.google.com/drive/folders/1sezyxVP72_IeiC8nc0CHYRQ9yPlAkI4p", "Lesson 38")</f>
        <v>Lesson 38</v>
      </c>
      <c r="D71" s="49" t="s">
        <v>2029</v>
      </c>
      <c r="E71" s="49" t="s">
        <v>2030</v>
      </c>
      <c r="F71" s="49" t="s">
        <v>2031</v>
      </c>
      <c r="G71" s="7" t="s">
        <v>2032</v>
      </c>
      <c r="H71" s="7"/>
      <c r="I71" s="80" t="s">
        <v>2033</v>
      </c>
      <c r="J71" s="111" t="s">
        <v>2034</v>
      </c>
      <c r="K71" s="111" t="s">
        <v>2035</v>
      </c>
      <c r="L71" s="111"/>
    </row>
    <row r="72" spans="1:12" ht="191.25" customHeight="1" x14ac:dyDescent="0.45">
      <c r="A72" s="230"/>
      <c r="B72" s="230"/>
      <c r="C72" s="151" t="str">
        <f>HYPERLINK("https://drive.google.com/drive/folders/1sZhqAravqSCHXjojBV6MD5VNpr2h7cOu", "Lesson 41")</f>
        <v>Lesson 41</v>
      </c>
      <c r="D72" s="48" t="s">
        <v>2036</v>
      </c>
      <c r="E72" s="48" t="s">
        <v>2037</v>
      </c>
      <c r="F72" s="49" t="s">
        <v>2038</v>
      </c>
      <c r="G72" s="7" t="s">
        <v>2039</v>
      </c>
      <c r="H72" s="76"/>
      <c r="I72" s="80" t="s">
        <v>2040</v>
      </c>
      <c r="J72" s="111" t="s">
        <v>2041</v>
      </c>
      <c r="K72" s="111" t="s">
        <v>2042</v>
      </c>
      <c r="L72" s="111"/>
    </row>
    <row r="73" spans="1:12" ht="204" customHeight="1" x14ac:dyDescent="0.45">
      <c r="A73" s="230"/>
      <c r="B73" s="230"/>
      <c r="C73" s="143" t="str">
        <f>HYPERLINK("https://drive.google.com/drive/folders/1tkefN6XYvOTzzio-g_oDDKIHiWCKW0ZL", "Lesson 95")</f>
        <v>Lesson 95</v>
      </c>
      <c r="D73" s="62" t="s">
        <v>2043</v>
      </c>
      <c r="E73" s="62" t="s">
        <v>2044</v>
      </c>
      <c r="F73" s="49" t="s">
        <v>2045</v>
      </c>
      <c r="G73" s="7"/>
      <c r="H73" s="7" t="s">
        <v>2046</v>
      </c>
      <c r="I73" s="80" t="s">
        <v>2047</v>
      </c>
      <c r="J73" s="111" t="s">
        <v>2048</v>
      </c>
      <c r="K73" s="111" t="s">
        <v>2049</v>
      </c>
      <c r="L73" s="111"/>
    </row>
    <row r="74" spans="1:12" ht="89.25" customHeight="1" x14ac:dyDescent="0.45">
      <c r="A74" s="230"/>
      <c r="B74" s="230"/>
      <c r="C74" s="143" t="str">
        <f>HYPERLINK("https://drive.google.com/drive/folders/1tkcJSxNQBXru20AlfLfkO14BuTKYQAPD", "Lesson 96")</f>
        <v>Lesson 96</v>
      </c>
      <c r="D74" s="62" t="s">
        <v>2050</v>
      </c>
      <c r="E74" s="62" t="s">
        <v>2051</v>
      </c>
      <c r="F74" s="49" t="s">
        <v>2052</v>
      </c>
      <c r="G74" s="7" t="s">
        <v>2053</v>
      </c>
      <c r="H74" s="7"/>
      <c r="I74" s="80" t="s">
        <v>2054</v>
      </c>
      <c r="J74" s="111" t="s">
        <v>2055</v>
      </c>
      <c r="K74" s="111" t="s">
        <v>2056</v>
      </c>
      <c r="L74" s="111"/>
    </row>
    <row r="75" spans="1:12" ht="191.25" customHeight="1" x14ac:dyDescent="0.45">
      <c r="A75" s="230"/>
      <c r="B75" s="230"/>
      <c r="C75" s="143" t="str">
        <f>HYPERLINK("https://drive.google.com/drive/folders/1tp2T0aIrAqs4c0OnciFj8zRPx4rdnHff", "Lesson 97")</f>
        <v>Lesson 97</v>
      </c>
      <c r="D75" s="62" t="s">
        <v>2057</v>
      </c>
      <c r="E75" s="62" t="s">
        <v>2058</v>
      </c>
      <c r="F75" s="49" t="s">
        <v>2059</v>
      </c>
      <c r="G75" s="7" t="s">
        <v>2060</v>
      </c>
      <c r="H75" s="7"/>
      <c r="I75" s="80" t="s">
        <v>2061</v>
      </c>
      <c r="J75" s="111" t="s">
        <v>2062</v>
      </c>
      <c r="K75" s="111" t="s">
        <v>2063</v>
      </c>
      <c r="L75" s="111"/>
    </row>
    <row r="76" spans="1:12" ht="63.75" customHeight="1" x14ac:dyDescent="0.45">
      <c r="A76" s="230"/>
      <c r="B76" s="230"/>
      <c r="C76" s="234" t="s">
        <v>534</v>
      </c>
      <c r="D76" s="235"/>
      <c r="E76" s="235"/>
      <c r="F76" s="236"/>
      <c r="G76" s="7"/>
      <c r="H76" s="7"/>
      <c r="I76" s="76" t="s">
        <v>534</v>
      </c>
      <c r="J76" s="111"/>
      <c r="K76" s="111"/>
      <c r="L76" s="111"/>
    </row>
    <row r="77" spans="1:12" ht="153" customHeight="1" x14ac:dyDescent="0.45">
      <c r="A77" s="230"/>
      <c r="B77" s="230"/>
      <c r="C77" s="125" t="str">
        <f>HYPERLINK("https://drive.google.com/drive/folders/1sXk_yZtG5TDyYQYwAoVi6MTfgbm8pHle", "Lesson 42")</f>
        <v>Lesson 42</v>
      </c>
      <c r="D77" s="49" t="s">
        <v>2064</v>
      </c>
      <c r="E77" s="49" t="s">
        <v>2065</v>
      </c>
      <c r="F77" s="49" t="s">
        <v>2066</v>
      </c>
      <c r="G77" s="7" t="s">
        <v>2067</v>
      </c>
      <c r="H77" s="76" t="s">
        <v>2068</v>
      </c>
      <c r="I77" s="80" t="s">
        <v>2069</v>
      </c>
      <c r="J77" s="111" t="s">
        <v>2070</v>
      </c>
      <c r="K77" s="111" t="s">
        <v>2071</v>
      </c>
      <c r="L77" s="111" t="s">
        <v>2072</v>
      </c>
    </row>
    <row r="78" spans="1:12" ht="127.5" customHeight="1" x14ac:dyDescent="0.45">
      <c r="A78" s="230"/>
      <c r="B78" s="230"/>
      <c r="C78" s="125" t="str">
        <f>HYPERLINK("https://drive.google.com/drive/folders/1sqvZm9YKXU2uW9yxYCZaYBBXMFotPa21", "Lesson 43")</f>
        <v>Lesson 43</v>
      </c>
      <c r="D78" s="49" t="s">
        <v>2073</v>
      </c>
      <c r="E78" s="49" t="s">
        <v>2074</v>
      </c>
      <c r="F78" s="49" t="s">
        <v>2075</v>
      </c>
      <c r="G78" s="7" t="s">
        <v>2076</v>
      </c>
      <c r="H78" s="76" t="s">
        <v>2077</v>
      </c>
      <c r="I78" s="80" t="s">
        <v>2078</v>
      </c>
      <c r="J78" s="111" t="s">
        <v>2079</v>
      </c>
      <c r="K78" s="111" t="s">
        <v>2080</v>
      </c>
      <c r="L78" s="111" t="s">
        <v>2081</v>
      </c>
    </row>
    <row r="79" spans="1:12" ht="229.5" customHeight="1" x14ac:dyDescent="0.45">
      <c r="A79" s="230"/>
      <c r="B79" s="230"/>
      <c r="C79" s="125" t="str">
        <f>HYPERLINK("https://drive.google.com/drive/folders/1sqoNH2EqjKN_CN1vpEEWn4IbCMR8K_t3", "Lesson 44")</f>
        <v>Lesson 44</v>
      </c>
      <c r="D79" s="49" t="s">
        <v>2082</v>
      </c>
      <c r="E79" s="49" t="s">
        <v>2083</v>
      </c>
      <c r="F79" s="49" t="s">
        <v>2084</v>
      </c>
      <c r="G79" s="7" t="s">
        <v>2085</v>
      </c>
      <c r="H79" s="76" t="s">
        <v>2086</v>
      </c>
      <c r="I79" s="80" t="s">
        <v>2087</v>
      </c>
      <c r="J79" s="111" t="s">
        <v>2088</v>
      </c>
      <c r="K79" s="111" t="s">
        <v>2089</v>
      </c>
      <c r="L79" s="111" t="s">
        <v>2090</v>
      </c>
    </row>
    <row r="80" spans="1:12" ht="255" customHeight="1" x14ac:dyDescent="0.45">
      <c r="A80" s="230"/>
      <c r="B80" s="230"/>
      <c r="C80" s="125" t="str">
        <f>HYPERLINK("https://drive.google.com/drive/folders/1sqM7nToSDmiFghVXPJoe-SZbQb6aKqHl", "Lesson 45")</f>
        <v>Lesson 45</v>
      </c>
      <c r="D80" s="49" t="s">
        <v>2091</v>
      </c>
      <c r="E80" s="49" t="s">
        <v>2092</v>
      </c>
      <c r="F80" s="49" t="s">
        <v>2093</v>
      </c>
      <c r="G80" s="7" t="s">
        <v>2094</v>
      </c>
      <c r="H80" s="76" t="s">
        <v>2095</v>
      </c>
      <c r="I80" s="80" t="s">
        <v>2096</v>
      </c>
      <c r="J80" s="111" t="s">
        <v>2097</v>
      </c>
      <c r="K80" s="111" t="s">
        <v>2098</v>
      </c>
      <c r="L80" s="111" t="s">
        <v>2099</v>
      </c>
    </row>
    <row r="81" spans="1:12" ht="165.75" customHeight="1" x14ac:dyDescent="0.45">
      <c r="A81" s="230"/>
      <c r="B81" s="230"/>
      <c r="C81" s="125" t="str">
        <f>HYPERLINK("https://drive.google.com/drive/folders/1spBfInD9wPpd6DyNhEo4xN9W1GkVS17-", "Lesson 46")</f>
        <v>Lesson 46</v>
      </c>
      <c r="D81" s="49" t="s">
        <v>2100</v>
      </c>
      <c r="E81" s="49" t="s">
        <v>2101</v>
      </c>
      <c r="F81" s="49" t="s">
        <v>2102</v>
      </c>
      <c r="G81" s="7" t="s">
        <v>2103</v>
      </c>
      <c r="H81" s="76" t="s">
        <v>2104</v>
      </c>
      <c r="I81" s="80" t="s">
        <v>2105</v>
      </c>
      <c r="J81" s="111" t="s">
        <v>2106</v>
      </c>
      <c r="K81" s="111" t="s">
        <v>2107</v>
      </c>
      <c r="L81" s="111" t="s">
        <v>2108</v>
      </c>
    </row>
    <row r="82" spans="1:12" ht="153" customHeight="1" x14ac:dyDescent="0.45">
      <c r="A82" s="230"/>
      <c r="B82" s="230"/>
      <c r="C82" s="142" t="str">
        <f>HYPERLINK("https://drive.google.com/drive/folders/1toamoVfzjjwKfkItLkHxlW_0oV7ab4HU", "Lesson 98")</f>
        <v>Lesson 98</v>
      </c>
      <c r="D82" s="62" t="s">
        <v>2109</v>
      </c>
      <c r="E82" s="49" t="s">
        <v>2110</v>
      </c>
      <c r="F82" s="49" t="s">
        <v>2111</v>
      </c>
      <c r="G82" s="7" t="s">
        <v>2112</v>
      </c>
      <c r="H82" s="76" t="s">
        <v>2113</v>
      </c>
      <c r="I82" s="80" t="s">
        <v>2114</v>
      </c>
      <c r="J82" s="111" t="s">
        <v>2115</v>
      </c>
      <c r="K82" s="111" t="s">
        <v>2116</v>
      </c>
      <c r="L82" s="117" t="s">
        <v>2117</v>
      </c>
    </row>
    <row r="83" spans="1:12" ht="114.75" customHeight="1" x14ac:dyDescent="0.45">
      <c r="A83" s="230"/>
      <c r="B83" s="230"/>
      <c r="C83" s="142" t="str">
        <f>HYPERLINK("https://drive.google.com/drive/folders/1toOAr4JxuZGOHcvnqoc-Or6dgcaQMa7G", "Lesson 99")</f>
        <v>Lesson 99</v>
      </c>
      <c r="D83" s="62" t="s">
        <v>2118</v>
      </c>
      <c r="E83" s="62" t="s">
        <v>2119</v>
      </c>
      <c r="F83" s="49" t="s">
        <v>2120</v>
      </c>
      <c r="G83" s="7" t="s">
        <v>2121</v>
      </c>
      <c r="H83" s="76" t="s">
        <v>2122</v>
      </c>
      <c r="I83" s="80" t="s">
        <v>2123</v>
      </c>
      <c r="J83" s="111" t="s">
        <v>2124</v>
      </c>
      <c r="K83" s="111" t="s">
        <v>2125</v>
      </c>
      <c r="L83" s="111" t="s">
        <v>2126</v>
      </c>
    </row>
    <row r="84" spans="1:12" ht="127.5" customHeight="1" x14ac:dyDescent="0.45">
      <c r="A84" s="230"/>
      <c r="B84" s="230"/>
      <c r="C84" s="142" t="str">
        <f>HYPERLINK("https://drive.google.com/drive/folders/1s2dOaaR2Uuz5ciFVRt4Yp3Z0WdByF8I0", "Lesson 100")</f>
        <v>Lesson 100</v>
      </c>
      <c r="D84" s="62" t="s">
        <v>2127</v>
      </c>
      <c r="E84" s="62" t="s">
        <v>2128</v>
      </c>
      <c r="F84" s="49" t="s">
        <v>2129</v>
      </c>
      <c r="G84" s="7"/>
      <c r="H84" s="7"/>
      <c r="I84" s="80" t="s">
        <v>2130</v>
      </c>
      <c r="J84" s="111" t="s">
        <v>2131</v>
      </c>
      <c r="K84" s="111" t="s">
        <v>2132</v>
      </c>
      <c r="L84" s="117"/>
    </row>
    <row r="85" spans="1:12" ht="63.75" customHeight="1" x14ac:dyDescent="0.45">
      <c r="A85" s="230"/>
      <c r="B85" s="230"/>
      <c r="C85" s="234" t="s">
        <v>615</v>
      </c>
      <c r="D85" s="235"/>
      <c r="E85" s="235"/>
      <c r="F85" s="236"/>
      <c r="G85" s="7"/>
      <c r="H85" s="7"/>
      <c r="I85" s="76" t="s">
        <v>615</v>
      </c>
      <c r="J85" s="111"/>
      <c r="K85" s="111"/>
      <c r="L85" s="111"/>
    </row>
    <row r="86" spans="1:12" ht="114.75" customHeight="1" x14ac:dyDescent="0.45">
      <c r="A86" s="230"/>
      <c r="B86" s="230"/>
      <c r="C86" s="123" t="str">
        <f>HYPERLINK("https://drive.google.com/drive/folders/1sxy_f0BFlYMSdmATgL1ByxBiU17yuZu4", "Lesson 49")</f>
        <v>Lesson 49</v>
      </c>
      <c r="D86" s="49" t="s">
        <v>2133</v>
      </c>
      <c r="E86" s="49" t="s">
        <v>2134</v>
      </c>
      <c r="F86" s="49" t="s">
        <v>2135</v>
      </c>
      <c r="G86" s="7"/>
      <c r="H86" s="7"/>
      <c r="I86" s="80" t="s">
        <v>2136</v>
      </c>
      <c r="J86" s="111" t="s">
        <v>2137</v>
      </c>
      <c r="K86" s="111" t="s">
        <v>2138</v>
      </c>
      <c r="L86" s="111"/>
    </row>
    <row r="87" spans="1:12" ht="127.5" customHeight="1" x14ac:dyDescent="0.45">
      <c r="A87" s="230"/>
      <c r="B87" s="230"/>
      <c r="C87" s="123" t="str">
        <f>HYPERLINK("https://drive.google.com/drive/folders/1svs1cgUjK2rv8aikTKzJAR1CBHH5YGdD", "Lesson 50")</f>
        <v>Lesson 50</v>
      </c>
      <c r="D87" s="49" t="s">
        <v>2139</v>
      </c>
      <c r="E87" s="75" t="s">
        <v>2140</v>
      </c>
      <c r="F87" s="49" t="s">
        <v>2141</v>
      </c>
      <c r="G87" s="7"/>
      <c r="H87" s="7"/>
      <c r="I87" s="80" t="s">
        <v>2142</v>
      </c>
      <c r="J87" s="111" t="s">
        <v>2143</v>
      </c>
      <c r="K87" s="111" t="s">
        <v>2144</v>
      </c>
      <c r="L87" s="111"/>
    </row>
    <row r="88" spans="1:12" ht="127.5" customHeight="1" x14ac:dyDescent="0.45">
      <c r="A88" s="230"/>
      <c r="B88" s="230"/>
      <c r="C88" s="123" t="str">
        <f>HYPERLINK("https://drive.google.com/drive/folders/1sv6Oyu4iEFFixvBNEbX-zBryPBf_urVD", "Lesson 51")</f>
        <v>Lesson 51</v>
      </c>
      <c r="D88" s="49" t="s">
        <v>2145</v>
      </c>
      <c r="E88" s="49" t="s">
        <v>2146</v>
      </c>
      <c r="F88" s="49" t="s">
        <v>2147</v>
      </c>
      <c r="G88" s="7" t="s">
        <v>2148</v>
      </c>
      <c r="H88" s="76" t="s">
        <v>2149</v>
      </c>
      <c r="I88" s="80" t="s">
        <v>2150</v>
      </c>
      <c r="J88" s="111" t="s">
        <v>2151</v>
      </c>
      <c r="K88" s="111" t="s">
        <v>2152</v>
      </c>
      <c r="L88" s="111" t="s">
        <v>2153</v>
      </c>
    </row>
    <row r="89" spans="1:12" ht="114.75" customHeight="1" x14ac:dyDescent="0.45">
      <c r="A89" s="230"/>
      <c r="B89" s="230"/>
      <c r="C89" s="152" t="str">
        <f>HYPERLINK("https://drive.google.com/drive/folders/1ssxmOErBM_4La_xQ-U6o6R_Si7KjSZi-", "Lesson 52")</f>
        <v>Lesson 52</v>
      </c>
      <c r="D89" s="153" t="s">
        <v>2154</v>
      </c>
      <c r="E89" s="153" t="s">
        <v>2155</v>
      </c>
      <c r="F89" s="49" t="s">
        <v>589</v>
      </c>
      <c r="G89" s="7"/>
      <c r="H89" s="7"/>
      <c r="I89" s="80" t="s">
        <v>2156</v>
      </c>
      <c r="J89" s="111" t="s">
        <v>2157</v>
      </c>
      <c r="K89" s="111" t="s">
        <v>2158</v>
      </c>
      <c r="L89" s="111"/>
    </row>
    <row r="90" spans="1:12" ht="153" customHeight="1" x14ac:dyDescent="0.45">
      <c r="A90" s="230"/>
      <c r="B90" s="231"/>
      <c r="C90" s="123" t="str">
        <f>HYPERLINK("https://drive.google.com/drive/folders/1ssflTqpKhpDXm_Xzwa5ltDLkbup851NA", "Lesson 53")</f>
        <v>Lesson 53</v>
      </c>
      <c r="D90" s="49" t="s">
        <v>2159</v>
      </c>
      <c r="E90" s="49" t="s">
        <v>2160</v>
      </c>
      <c r="F90" s="49" t="s">
        <v>2161</v>
      </c>
      <c r="G90" s="7"/>
      <c r="H90" s="7"/>
      <c r="I90" s="80" t="s">
        <v>2162</v>
      </c>
      <c r="J90" s="111" t="s">
        <v>2163</v>
      </c>
      <c r="K90" s="111" t="s">
        <v>2164</v>
      </c>
      <c r="L90" s="111"/>
    </row>
    <row r="91" spans="1:12" ht="102" customHeight="1" x14ac:dyDescent="0.45">
      <c r="A91" s="230"/>
      <c r="B91" s="229" t="s">
        <v>217</v>
      </c>
      <c r="C91" s="123" t="str">
        <f>HYPERLINK("https://drive.google.com/drive/folders/1ssVwflJsD0bYFZRhcLeRkw2v7e1NgBaD", "Lesson 54")</f>
        <v>Lesson 54</v>
      </c>
      <c r="D91" s="4" t="s">
        <v>2165</v>
      </c>
      <c r="E91" s="4" t="s">
        <v>2166</v>
      </c>
      <c r="F91" s="4" t="s">
        <v>2167</v>
      </c>
      <c r="G91" s="7"/>
      <c r="H91" s="7"/>
      <c r="I91" s="80" t="s">
        <v>2168</v>
      </c>
      <c r="J91" s="111" t="s">
        <v>2169</v>
      </c>
      <c r="K91" s="111" t="s">
        <v>2170</v>
      </c>
      <c r="L91" s="117"/>
    </row>
    <row r="92" spans="1:12" ht="127.5" customHeight="1" x14ac:dyDescent="0.45">
      <c r="A92" s="230"/>
      <c r="B92" s="230"/>
      <c r="C92" s="123" t="str">
        <f>HYPERLINK("https://drive.google.com/drive/folders/1t-t-mf5E3Tp__Ppf5XrQo_Jgf0zD4-4u", "Lesson 55")</f>
        <v>Lesson 55</v>
      </c>
      <c r="D92" s="4" t="s">
        <v>2171</v>
      </c>
      <c r="E92" s="4" t="s">
        <v>2172</v>
      </c>
      <c r="F92" s="4" t="s">
        <v>2173</v>
      </c>
      <c r="G92" s="7"/>
      <c r="H92" s="7"/>
      <c r="I92" s="154" t="s">
        <v>2174</v>
      </c>
      <c r="J92" s="111" t="s">
        <v>2175</v>
      </c>
      <c r="K92" s="111" t="s">
        <v>2176</v>
      </c>
      <c r="L92" s="111"/>
    </row>
    <row r="93" spans="1:12" ht="63.75" customHeight="1" x14ac:dyDescent="0.45">
      <c r="A93" s="230"/>
      <c r="B93" s="230"/>
      <c r="C93" s="123" t="str">
        <f>HYPERLINK("https://drive.google.com/drive/folders/1t5UbHmcU-tlHt-gQGwsTTfhtPUSXfOW2", "Lesson 56")</f>
        <v>Lesson 56</v>
      </c>
      <c r="D93" s="4" t="s">
        <v>2177</v>
      </c>
      <c r="E93" s="4" t="s">
        <v>2178</v>
      </c>
      <c r="F93" s="4" t="s">
        <v>1380</v>
      </c>
      <c r="G93" s="7"/>
      <c r="H93" s="7"/>
      <c r="I93" s="154" t="s">
        <v>2179</v>
      </c>
      <c r="J93" s="111" t="s">
        <v>2180</v>
      </c>
      <c r="K93" s="111" t="s">
        <v>2181</v>
      </c>
      <c r="L93" s="117"/>
    </row>
    <row r="94" spans="1:12" ht="31.5" customHeight="1" x14ac:dyDescent="0.45">
      <c r="A94" s="230"/>
      <c r="B94" s="230"/>
      <c r="C94" s="123" t="str">
        <f>HYPERLINK("https://drive.google.com/drive/folders/1t5AnnE3FrDXi9dYHdNcniqtupTuGvgpp", "Lesson 57")</f>
        <v>Lesson 57</v>
      </c>
      <c r="D94" s="4" t="s">
        <v>2182</v>
      </c>
      <c r="E94" s="4" t="s">
        <v>2178</v>
      </c>
      <c r="F94" s="4" t="s">
        <v>2183</v>
      </c>
      <c r="G94" s="7"/>
      <c r="H94" s="7"/>
      <c r="I94" s="154" t="s">
        <v>2184</v>
      </c>
      <c r="J94" s="111" t="s">
        <v>2185</v>
      </c>
      <c r="K94" s="111" t="s">
        <v>2186</v>
      </c>
      <c r="L94" s="111"/>
    </row>
    <row r="95" spans="1:12" ht="165.75" customHeight="1" x14ac:dyDescent="0.45">
      <c r="A95" s="230"/>
      <c r="B95" s="230"/>
      <c r="C95" s="143" t="str">
        <f>HYPERLINK("https://drive.google.com/drive/folders/1s-rqN5hrL1a2vCNTOCuNqzK78goDuyJZ", "Lesson 106")</f>
        <v>Lesson 106</v>
      </c>
      <c r="D95" s="56" t="s">
        <v>2187</v>
      </c>
      <c r="E95" s="56" t="s">
        <v>2188</v>
      </c>
      <c r="F95" s="4" t="s">
        <v>2189</v>
      </c>
      <c r="G95" s="7" t="s">
        <v>2190</v>
      </c>
      <c r="H95" s="7" t="s">
        <v>2191</v>
      </c>
      <c r="I95" s="154" t="s">
        <v>2192</v>
      </c>
      <c r="J95" s="111" t="s">
        <v>2193</v>
      </c>
      <c r="K95" s="111" t="s">
        <v>2194</v>
      </c>
      <c r="L95" s="111" t="s">
        <v>2195</v>
      </c>
    </row>
    <row r="96" spans="1:12" ht="114.75" customHeight="1" x14ac:dyDescent="0.45">
      <c r="A96" s="230"/>
      <c r="B96" s="230"/>
      <c r="C96" s="143" t="str">
        <f>HYPERLINK("https://drive.google.com/drive/folders/1s-mmeym0TX33B0l_niT_roMbeLd1wcPp", "Lesson 107")</f>
        <v>Lesson 107</v>
      </c>
      <c r="D96" s="56" t="s">
        <v>2196</v>
      </c>
      <c r="E96" s="56" t="s">
        <v>2197</v>
      </c>
      <c r="F96" s="4" t="s">
        <v>2189</v>
      </c>
      <c r="G96" s="7"/>
      <c r="H96" s="7"/>
      <c r="I96" s="154" t="s">
        <v>2198</v>
      </c>
      <c r="J96" s="111" t="s">
        <v>2199</v>
      </c>
      <c r="K96" s="111" t="s">
        <v>2200</v>
      </c>
      <c r="L96" s="117"/>
    </row>
    <row r="97" spans="1:12" ht="140.25" customHeight="1" x14ac:dyDescent="0.45">
      <c r="A97" s="230"/>
      <c r="B97" s="230"/>
      <c r="C97" s="143" t="str">
        <f>HYPERLINK("https://drive.google.com/drive/folders/1s-LgFOTwC6lbU5dQgELdLZYv85aUu4Js", "Lesson 108")</f>
        <v>Lesson 108</v>
      </c>
      <c r="D97" s="56" t="s">
        <v>2201</v>
      </c>
      <c r="E97" s="56" t="s">
        <v>2202</v>
      </c>
      <c r="F97" s="4" t="s">
        <v>2189</v>
      </c>
      <c r="G97" s="7"/>
      <c r="H97" s="7"/>
      <c r="I97" s="154" t="s">
        <v>2203</v>
      </c>
      <c r="J97" s="111" t="s">
        <v>2204</v>
      </c>
      <c r="K97" s="111" t="s">
        <v>2205</v>
      </c>
      <c r="L97" s="111"/>
    </row>
    <row r="98" spans="1:12" ht="127.5" customHeight="1" x14ac:dyDescent="0.45">
      <c r="A98" s="230"/>
      <c r="B98" s="230"/>
      <c r="C98" s="143" t="str">
        <f>HYPERLINK("https://drive.google.com/drive/folders/1rzqKOdNSVy2-B-faop8_58wxlkMwJfNR", "Lesson 109")</f>
        <v>Lesson 109</v>
      </c>
      <c r="D98" s="56" t="s">
        <v>2206</v>
      </c>
      <c r="E98" s="4" t="s">
        <v>2207</v>
      </c>
      <c r="F98" s="4" t="s">
        <v>2208</v>
      </c>
      <c r="G98" s="7"/>
      <c r="H98" s="7"/>
      <c r="I98" s="154" t="s">
        <v>2209</v>
      </c>
      <c r="J98" s="111" t="s">
        <v>2210</v>
      </c>
      <c r="K98" s="111" t="s">
        <v>2211</v>
      </c>
      <c r="L98" s="111"/>
    </row>
    <row r="99" spans="1:12" ht="63.75" customHeight="1" x14ac:dyDescent="0.45">
      <c r="A99" s="230"/>
      <c r="B99" s="230"/>
      <c r="C99" s="234" t="s">
        <v>737</v>
      </c>
      <c r="D99" s="235"/>
      <c r="E99" s="235"/>
      <c r="F99" s="236"/>
      <c r="G99" s="7"/>
      <c r="H99" s="7"/>
      <c r="I99" s="76" t="s">
        <v>737</v>
      </c>
      <c r="J99" s="111"/>
      <c r="K99" s="111"/>
      <c r="L99" s="111"/>
    </row>
    <row r="100" spans="1:12" ht="229.5" customHeight="1" x14ac:dyDescent="0.45">
      <c r="A100" s="230"/>
      <c r="B100" s="230"/>
      <c r="C100" s="155" t="str">
        <f>HYPERLINK("https://drive.google.com/drive/folders/1tAgNXv1X34BAMDKpFI65mZHgd1dXAhkx", "Lesson 59")</f>
        <v>Lesson 59</v>
      </c>
      <c r="D100" s="4" t="s">
        <v>2212</v>
      </c>
      <c r="E100" s="4" t="s">
        <v>2213</v>
      </c>
      <c r="F100" s="4" t="s">
        <v>2214</v>
      </c>
      <c r="G100" s="7" t="s">
        <v>2215</v>
      </c>
      <c r="H100" s="76" t="s">
        <v>2216</v>
      </c>
      <c r="I100" s="154" t="s">
        <v>2217</v>
      </c>
      <c r="J100" s="117" t="s">
        <v>2218</v>
      </c>
      <c r="K100" s="111" t="s">
        <v>2219</v>
      </c>
      <c r="L100" s="111" t="s">
        <v>2220</v>
      </c>
    </row>
    <row r="101" spans="1:12" ht="204" customHeight="1" x14ac:dyDescent="0.45">
      <c r="A101" s="230"/>
      <c r="B101" s="230"/>
      <c r="C101" s="155" t="str">
        <f>HYPERLINK("https://drive.google.com/drive/folders/1t8l0Y4A1mmHgZc6ggFfs5Ifn1oFTsrXo", "Lesson 60")</f>
        <v>Lesson 60</v>
      </c>
      <c r="D101" s="4" t="s">
        <v>2221</v>
      </c>
      <c r="E101" s="4" t="s">
        <v>2222</v>
      </c>
      <c r="F101" s="4" t="s">
        <v>1231</v>
      </c>
      <c r="G101" s="7" t="s">
        <v>2223</v>
      </c>
      <c r="H101" s="76" t="s">
        <v>2224</v>
      </c>
      <c r="I101" s="154" t="s">
        <v>2225</v>
      </c>
      <c r="J101" s="111" t="s">
        <v>2226</v>
      </c>
      <c r="K101" s="111" t="s">
        <v>2227</v>
      </c>
      <c r="L101" s="111" t="s">
        <v>2228</v>
      </c>
    </row>
    <row r="102" spans="1:12" ht="153" customHeight="1" x14ac:dyDescent="0.45">
      <c r="A102" s="230"/>
      <c r="B102" s="230"/>
      <c r="C102" s="155" t="str">
        <f>HYPERLINK("https://drive.google.com/drive/folders/1t7Zs7Ya_PWZfYuLdjBWu5G3BiyY9-IDA", "Lesson 61")</f>
        <v>Lesson 61</v>
      </c>
      <c r="D102" s="4" t="s">
        <v>2229</v>
      </c>
      <c r="E102" s="4" t="s">
        <v>2230</v>
      </c>
      <c r="F102" s="4" t="s">
        <v>2231</v>
      </c>
      <c r="G102" s="7"/>
      <c r="H102" s="7"/>
      <c r="I102" s="154" t="s">
        <v>2232</v>
      </c>
      <c r="J102" s="111" t="s">
        <v>2233</v>
      </c>
      <c r="K102" s="111" t="s">
        <v>2234</v>
      </c>
      <c r="L102" s="111"/>
    </row>
    <row r="103" spans="1:12" ht="114.75" customHeight="1" x14ac:dyDescent="0.45">
      <c r="A103" s="230"/>
      <c r="B103" s="230"/>
      <c r="C103" s="155" t="str">
        <f>HYPERLINK("https://drive.google.com/drive/folders/1t7JNFMJG2XmTDtgzew-v-yfMyPexYx2y", "Lesson 62")</f>
        <v>Lesson 62</v>
      </c>
      <c r="D103" s="4" t="s">
        <v>2235</v>
      </c>
      <c r="E103" s="4" t="s">
        <v>2236</v>
      </c>
      <c r="F103" s="4" t="s">
        <v>2237</v>
      </c>
      <c r="G103" s="7" t="s">
        <v>2238</v>
      </c>
      <c r="H103" s="76" t="s">
        <v>2239</v>
      </c>
      <c r="I103" s="154" t="s">
        <v>2240</v>
      </c>
      <c r="J103" s="111" t="s">
        <v>2241</v>
      </c>
      <c r="K103" s="111" t="s">
        <v>2242</v>
      </c>
      <c r="L103" s="111" t="s">
        <v>2243</v>
      </c>
    </row>
    <row r="104" spans="1:12" ht="102" customHeight="1" x14ac:dyDescent="0.45">
      <c r="A104" s="230"/>
      <c r="B104" s="230"/>
      <c r="C104" s="155" t="str">
        <f>HYPERLINK("https://drive.google.com/drive/folders/1t7A8lTrVuKJCVAYvDQTPMqD0ZFV0wpB4", "Lesson 63")</f>
        <v>Lesson 63</v>
      </c>
      <c r="D104" s="4" t="s">
        <v>2244</v>
      </c>
      <c r="E104" s="4" t="s">
        <v>2245</v>
      </c>
      <c r="F104" s="4" t="s">
        <v>2246</v>
      </c>
      <c r="G104" s="7" t="s">
        <v>2247</v>
      </c>
      <c r="H104" s="76" t="s">
        <v>2248</v>
      </c>
      <c r="I104" s="154" t="s">
        <v>2249</v>
      </c>
      <c r="J104" s="111" t="s">
        <v>2250</v>
      </c>
      <c r="K104" s="111" t="s">
        <v>2251</v>
      </c>
      <c r="L104" s="111" t="s">
        <v>2252</v>
      </c>
    </row>
    <row r="105" spans="1:12" ht="114.75" customHeight="1" x14ac:dyDescent="0.45">
      <c r="A105" s="230"/>
      <c r="B105" s="230"/>
      <c r="C105" s="156" t="str">
        <f>HYPERLINK("https://drive.google.com/drive/folders/1s1_BrD45F-KnHBG3UAuKRBdWr0grtuaH", "Lesson 103")</f>
        <v>Lesson 103</v>
      </c>
      <c r="D105" s="56" t="s">
        <v>2253</v>
      </c>
      <c r="E105" s="56" t="s">
        <v>2254</v>
      </c>
      <c r="F105" s="4" t="s">
        <v>2255</v>
      </c>
      <c r="G105" s="7" t="s">
        <v>2256</v>
      </c>
      <c r="H105" s="76" t="s">
        <v>2257</v>
      </c>
      <c r="I105" s="154" t="s">
        <v>2258</v>
      </c>
      <c r="J105" s="111" t="s">
        <v>2259</v>
      </c>
      <c r="K105" s="111" t="s">
        <v>2260</v>
      </c>
      <c r="L105" s="111" t="s">
        <v>2261</v>
      </c>
    </row>
    <row r="106" spans="1:12" ht="178.5" customHeight="1" x14ac:dyDescent="0.45">
      <c r="A106" s="230"/>
      <c r="B106" s="230"/>
      <c r="C106" s="156" t="str">
        <f>HYPERLINK("https://drive.google.com/drive/folders/1s1OeCwv4gaAlzs0XwPbaaKMGSzw8axQW", "Lesson 104")</f>
        <v>Lesson 104</v>
      </c>
      <c r="D106" s="56" t="s">
        <v>2262</v>
      </c>
      <c r="E106" s="56" t="s">
        <v>2263</v>
      </c>
      <c r="F106" s="4" t="s">
        <v>2255</v>
      </c>
      <c r="G106" s="7" t="s">
        <v>2264</v>
      </c>
      <c r="H106" s="7" t="s">
        <v>2265</v>
      </c>
      <c r="I106" s="154" t="s">
        <v>2266</v>
      </c>
      <c r="J106" s="111" t="s">
        <v>2267</v>
      </c>
      <c r="K106" s="111" t="s">
        <v>2268</v>
      </c>
      <c r="L106" s="117" t="s">
        <v>2269</v>
      </c>
    </row>
    <row r="107" spans="1:12" ht="102" customHeight="1" x14ac:dyDescent="0.45">
      <c r="A107" s="230"/>
      <c r="B107" s="230"/>
      <c r="C107" s="156" t="str">
        <f>HYPERLINK("https://drive.google.com/drive/folders/1s0ymUTmfTP6qYUr7WUMQL0s21V5k8Duh", "Lesson 105")</f>
        <v>Lesson 105</v>
      </c>
      <c r="D107" s="56" t="s">
        <v>2270</v>
      </c>
      <c r="E107" s="56" t="s">
        <v>2271</v>
      </c>
      <c r="F107" s="4" t="s">
        <v>2272</v>
      </c>
      <c r="G107" s="7"/>
      <c r="H107" s="7"/>
      <c r="I107" s="154" t="s">
        <v>2273</v>
      </c>
      <c r="J107" s="111" t="s">
        <v>2274</v>
      </c>
      <c r="K107" s="111" t="s">
        <v>2275</v>
      </c>
      <c r="L107" s="111"/>
    </row>
    <row r="108" spans="1:12" ht="12.75" customHeight="1" x14ac:dyDescent="0.45">
      <c r="A108" s="231"/>
      <c r="B108" s="231"/>
      <c r="C108" s="232" t="s">
        <v>2276</v>
      </c>
      <c r="D108" s="233"/>
      <c r="E108" s="233"/>
      <c r="F108" s="233"/>
      <c r="G108" s="7"/>
      <c r="H108" s="7"/>
      <c r="I108" s="76" t="s">
        <v>2276</v>
      </c>
      <c r="J108" s="111"/>
      <c r="K108" s="111"/>
      <c r="L108" s="111"/>
    </row>
    <row r="109" spans="1:12" ht="12.75" customHeight="1" x14ac:dyDescent="0.45">
      <c r="A109" s="138"/>
      <c r="B109" s="138"/>
      <c r="C109" s="134"/>
      <c r="D109" s="134"/>
      <c r="E109" s="134"/>
      <c r="F109" s="134"/>
      <c r="G109" s="134"/>
      <c r="H109" s="134"/>
      <c r="I109" s="134" t="s">
        <v>1517</v>
      </c>
      <c r="J109" s="111"/>
      <c r="K109" s="111"/>
      <c r="L109" s="111"/>
    </row>
    <row r="110" spans="1:12" ht="12.75" customHeight="1" x14ac:dyDescent="0.45">
      <c r="A110" s="138"/>
      <c r="B110" s="138"/>
      <c r="C110" s="134"/>
      <c r="D110" s="134"/>
      <c r="E110" s="134"/>
      <c r="F110" s="134"/>
      <c r="G110" s="134"/>
      <c r="H110" s="134"/>
      <c r="I110" s="134" t="s">
        <v>1517</v>
      </c>
      <c r="J110" s="111"/>
      <c r="K110" s="111"/>
      <c r="L110" s="111"/>
    </row>
    <row r="111" spans="1:12" ht="12.75" customHeight="1" x14ac:dyDescent="0.45">
      <c r="A111" s="138"/>
      <c r="B111" s="138"/>
      <c r="C111" s="134"/>
      <c r="D111" s="134"/>
      <c r="E111" s="134"/>
      <c r="F111" s="134"/>
      <c r="G111" s="134"/>
      <c r="H111" s="134"/>
      <c r="I111" s="134" t="s">
        <v>1517</v>
      </c>
      <c r="J111" s="111"/>
      <c r="K111" s="111"/>
      <c r="L111" s="111"/>
    </row>
    <row r="112" spans="1:12" ht="12.75" customHeight="1" x14ac:dyDescent="0.45">
      <c r="A112" s="138"/>
      <c r="B112" s="138"/>
      <c r="C112" s="134"/>
      <c r="D112" s="134"/>
      <c r="E112" s="134"/>
      <c r="F112" s="134"/>
      <c r="G112" s="134"/>
      <c r="H112" s="134"/>
      <c r="I112" s="134" t="s">
        <v>1517</v>
      </c>
      <c r="J112" s="111"/>
      <c r="K112" s="111"/>
      <c r="L112" s="111"/>
    </row>
    <row r="113" spans="1:9" ht="12.75" customHeight="1" x14ac:dyDescent="0.45">
      <c r="A113" s="138"/>
      <c r="B113" s="138"/>
      <c r="C113" s="134"/>
      <c r="D113" s="134"/>
      <c r="E113" s="134"/>
      <c r="F113" s="134"/>
      <c r="G113" s="134"/>
      <c r="H113" s="134"/>
      <c r="I113" s="134" t="s">
        <v>1517</v>
      </c>
    </row>
    <row r="114" spans="1:9" ht="12.75" customHeight="1" x14ac:dyDescent="0.45">
      <c r="A114" s="138"/>
      <c r="B114" s="138"/>
      <c r="C114" s="134"/>
      <c r="D114" s="134"/>
      <c r="E114" s="134"/>
      <c r="F114" s="134"/>
      <c r="G114" s="134"/>
      <c r="H114" s="134"/>
      <c r="I114" s="134" t="s">
        <v>1517</v>
      </c>
    </row>
    <row r="115" spans="1:9" ht="12.75" customHeight="1" x14ac:dyDescent="0.45">
      <c r="A115" s="138"/>
      <c r="B115" s="138"/>
      <c r="C115" s="134"/>
      <c r="D115" s="134"/>
      <c r="E115" s="134"/>
      <c r="F115" s="134"/>
      <c r="G115" s="134"/>
      <c r="H115" s="134"/>
      <c r="I115" s="134" t="s">
        <v>1517</v>
      </c>
    </row>
    <row r="116" spans="1:9" ht="12.75" customHeight="1" x14ac:dyDescent="0.45">
      <c r="A116" s="138"/>
      <c r="B116" s="138"/>
      <c r="C116" s="134"/>
      <c r="D116" s="134"/>
      <c r="E116" s="134"/>
      <c r="F116" s="134"/>
      <c r="G116" s="134"/>
      <c r="H116" s="134"/>
      <c r="I116" s="134" t="s">
        <v>1517</v>
      </c>
    </row>
    <row r="117" spans="1:9" ht="12.75" customHeight="1" x14ac:dyDescent="0.45">
      <c r="A117" s="138"/>
      <c r="B117" s="138"/>
      <c r="C117" s="134"/>
      <c r="D117" s="134"/>
      <c r="E117" s="134"/>
      <c r="F117" s="134"/>
      <c r="G117" s="134"/>
      <c r="H117" s="134"/>
      <c r="I117" s="134" t="s">
        <v>1517</v>
      </c>
    </row>
    <row r="118" spans="1:9" ht="12.75" customHeight="1" x14ac:dyDescent="0.45">
      <c r="A118" s="138"/>
      <c r="B118" s="138"/>
      <c r="C118" s="134"/>
      <c r="D118" s="134"/>
      <c r="E118" s="134"/>
      <c r="F118" s="134"/>
      <c r="G118" s="134"/>
      <c r="H118" s="134"/>
      <c r="I118" s="134" t="s">
        <v>1517</v>
      </c>
    </row>
    <row r="119" spans="1:9" ht="12.75" customHeight="1" x14ac:dyDescent="0.45">
      <c r="A119" s="138"/>
      <c r="B119" s="138"/>
      <c r="C119" s="134"/>
      <c r="D119" s="134"/>
      <c r="E119" s="134"/>
      <c r="F119" s="134"/>
      <c r="G119" s="134"/>
      <c r="H119" s="134"/>
      <c r="I119" s="134" t="s">
        <v>1517</v>
      </c>
    </row>
    <row r="120" spans="1:9" ht="12.75" customHeight="1" x14ac:dyDescent="0.45">
      <c r="A120" s="138"/>
      <c r="B120" s="138"/>
      <c r="C120" s="134"/>
      <c r="D120" s="134"/>
      <c r="E120" s="134"/>
      <c r="F120" s="134"/>
      <c r="G120" s="134"/>
      <c r="H120" s="134"/>
      <c r="I120" s="134" t="s">
        <v>1517</v>
      </c>
    </row>
    <row r="121" spans="1:9" ht="12.75" customHeight="1" x14ac:dyDescent="0.45">
      <c r="A121" s="138"/>
      <c r="B121" s="138"/>
      <c r="C121" s="134"/>
      <c r="D121" s="134"/>
      <c r="E121" s="134"/>
      <c r="F121" s="134"/>
      <c r="G121" s="134"/>
      <c r="H121" s="134"/>
      <c r="I121" s="134"/>
    </row>
    <row r="122" spans="1:9" ht="12.75" customHeight="1" x14ac:dyDescent="0.45">
      <c r="A122" s="138"/>
      <c r="B122" s="138"/>
      <c r="C122" s="134"/>
      <c r="D122" s="134"/>
      <c r="E122" s="134"/>
      <c r="F122" s="134"/>
      <c r="G122" s="134"/>
      <c r="H122" s="134"/>
      <c r="I122" s="134"/>
    </row>
    <row r="123" spans="1:9" ht="12.75" customHeight="1" x14ac:dyDescent="0.45">
      <c r="A123" s="138"/>
      <c r="B123" s="138"/>
      <c r="C123" s="134"/>
      <c r="D123" s="134"/>
      <c r="E123" s="134"/>
      <c r="F123" s="134"/>
      <c r="G123" s="134"/>
      <c r="H123" s="134"/>
      <c r="I123" s="134"/>
    </row>
    <row r="124" spans="1:9" ht="12.75" customHeight="1" x14ac:dyDescent="0.45">
      <c r="A124" s="138"/>
      <c r="B124" s="138"/>
      <c r="C124" s="134"/>
      <c r="D124" s="134"/>
      <c r="E124" s="134"/>
      <c r="F124" s="134"/>
      <c r="G124" s="134"/>
      <c r="H124" s="134"/>
      <c r="I124" s="134"/>
    </row>
    <row r="125" spans="1:9" ht="12.75" customHeight="1" x14ac:dyDescent="0.45">
      <c r="A125" s="138"/>
      <c r="B125" s="138"/>
      <c r="C125" s="134"/>
      <c r="D125" s="134"/>
      <c r="E125" s="134"/>
      <c r="F125" s="134"/>
      <c r="G125" s="134"/>
      <c r="H125" s="134"/>
      <c r="I125" s="134"/>
    </row>
    <row r="126" spans="1:9" ht="12.75" customHeight="1" x14ac:dyDescent="0.45">
      <c r="A126" s="138"/>
      <c r="B126" s="138"/>
      <c r="C126" s="134"/>
      <c r="D126" s="134"/>
      <c r="E126" s="134"/>
      <c r="F126" s="134"/>
      <c r="G126" s="134"/>
      <c r="H126" s="134"/>
      <c r="I126" s="134"/>
    </row>
    <row r="127" spans="1:9" ht="12.75" customHeight="1" x14ac:dyDescent="0.45">
      <c r="A127" s="138"/>
      <c r="B127" s="138"/>
      <c r="C127" s="134"/>
      <c r="D127" s="134"/>
      <c r="E127" s="134"/>
      <c r="F127" s="134"/>
      <c r="G127" s="134"/>
      <c r="H127" s="134"/>
      <c r="I127" s="134"/>
    </row>
    <row r="128" spans="1:9" ht="12.75" customHeight="1" x14ac:dyDescent="0.45">
      <c r="A128" s="138"/>
      <c r="B128" s="138"/>
      <c r="C128" s="134"/>
      <c r="D128" s="134"/>
      <c r="E128" s="134"/>
      <c r="F128" s="134"/>
      <c r="G128" s="134"/>
      <c r="H128" s="134"/>
      <c r="I128" s="134"/>
    </row>
    <row r="129" spans="1:9" ht="12.75" customHeight="1" x14ac:dyDescent="0.45">
      <c r="A129" s="138"/>
      <c r="B129" s="138"/>
      <c r="C129" s="134"/>
      <c r="D129" s="134"/>
      <c r="E129" s="134"/>
      <c r="F129" s="134"/>
      <c r="G129" s="134"/>
      <c r="H129" s="134"/>
      <c r="I129" s="134"/>
    </row>
    <row r="130" spans="1:9" ht="12.75" customHeight="1" x14ac:dyDescent="0.45">
      <c r="A130" s="138"/>
      <c r="B130" s="138"/>
      <c r="C130" s="134"/>
      <c r="D130" s="134"/>
      <c r="E130" s="134"/>
      <c r="F130" s="134"/>
      <c r="G130" s="134"/>
      <c r="H130" s="134"/>
      <c r="I130" s="134"/>
    </row>
    <row r="131" spans="1:9" ht="12.75" customHeight="1" x14ac:dyDescent="0.45">
      <c r="A131" s="138"/>
      <c r="B131" s="138"/>
      <c r="C131" s="134"/>
      <c r="D131" s="134"/>
      <c r="E131" s="134"/>
      <c r="F131" s="134"/>
      <c r="G131" s="134"/>
      <c r="H131" s="134"/>
      <c r="I131" s="134"/>
    </row>
    <row r="132" spans="1:9" ht="12.75" customHeight="1" x14ac:dyDescent="0.45">
      <c r="A132" s="138"/>
      <c r="B132" s="138"/>
      <c r="C132" s="134"/>
      <c r="D132" s="134"/>
      <c r="E132" s="134"/>
      <c r="F132" s="134"/>
      <c r="G132" s="134"/>
      <c r="H132" s="134"/>
      <c r="I132" s="134"/>
    </row>
    <row r="133" spans="1:9" ht="12.75" customHeight="1" x14ac:dyDescent="0.45">
      <c r="A133" s="138"/>
      <c r="B133" s="138"/>
      <c r="C133" s="134"/>
      <c r="D133" s="134"/>
      <c r="E133" s="134"/>
      <c r="F133" s="134"/>
      <c r="G133" s="134"/>
      <c r="H133" s="134"/>
      <c r="I133" s="134"/>
    </row>
    <row r="134" spans="1:9" ht="12.75" customHeight="1" x14ac:dyDescent="0.45">
      <c r="A134" s="138"/>
      <c r="B134" s="138"/>
      <c r="C134" s="134"/>
      <c r="D134" s="134"/>
      <c r="E134" s="134"/>
      <c r="F134" s="134"/>
      <c r="G134" s="134"/>
      <c r="H134" s="134"/>
      <c r="I134" s="134"/>
    </row>
    <row r="135" spans="1:9" ht="12.75" customHeight="1" x14ac:dyDescent="0.45">
      <c r="A135" s="138"/>
      <c r="B135" s="138"/>
      <c r="C135" s="134"/>
      <c r="D135" s="134"/>
      <c r="E135" s="134"/>
      <c r="F135" s="134"/>
      <c r="G135" s="134"/>
      <c r="H135" s="134"/>
      <c r="I135" s="134"/>
    </row>
    <row r="136" spans="1:9" ht="12.75" customHeight="1" x14ac:dyDescent="0.45">
      <c r="A136" s="138"/>
      <c r="B136" s="138"/>
      <c r="C136" s="134"/>
      <c r="D136" s="134"/>
      <c r="E136" s="134"/>
      <c r="F136" s="134"/>
      <c r="G136" s="134"/>
      <c r="H136" s="134"/>
      <c r="I136" s="134"/>
    </row>
    <row r="137" spans="1:9" ht="12.75" customHeight="1" x14ac:dyDescent="0.45">
      <c r="A137" s="138"/>
      <c r="B137" s="138"/>
      <c r="C137" s="134"/>
      <c r="D137" s="134"/>
      <c r="E137" s="134"/>
      <c r="F137" s="134"/>
      <c r="G137" s="134"/>
      <c r="H137" s="134"/>
      <c r="I137" s="134"/>
    </row>
    <row r="138" spans="1:9" ht="12.75" customHeight="1" x14ac:dyDescent="0.45">
      <c r="A138" s="138"/>
      <c r="B138" s="138"/>
      <c r="C138" s="134"/>
      <c r="D138" s="134"/>
      <c r="E138" s="134"/>
      <c r="F138" s="134"/>
      <c r="G138" s="134"/>
      <c r="H138" s="134"/>
      <c r="I138" s="134"/>
    </row>
    <row r="139" spans="1:9" ht="12.75" customHeight="1" x14ac:dyDescent="0.45">
      <c r="A139" s="138"/>
      <c r="B139" s="138"/>
      <c r="C139" s="134"/>
      <c r="D139" s="134"/>
      <c r="E139" s="134"/>
      <c r="F139" s="134"/>
      <c r="G139" s="134"/>
      <c r="H139" s="134"/>
      <c r="I139" s="134"/>
    </row>
    <row r="140" spans="1:9" ht="12.75" customHeight="1" x14ac:dyDescent="0.45">
      <c r="A140" s="138"/>
      <c r="B140" s="138"/>
      <c r="C140" s="134"/>
      <c r="D140" s="134"/>
      <c r="E140" s="134"/>
      <c r="F140" s="134"/>
      <c r="G140" s="134"/>
      <c r="H140" s="134"/>
      <c r="I140" s="134"/>
    </row>
    <row r="141" spans="1:9" ht="12.75" customHeight="1" x14ac:dyDescent="0.45">
      <c r="A141" s="138"/>
      <c r="B141" s="138"/>
      <c r="C141" s="134"/>
      <c r="D141" s="134"/>
      <c r="E141" s="134"/>
      <c r="F141" s="134"/>
      <c r="G141" s="134"/>
      <c r="H141" s="134"/>
      <c r="I141" s="134"/>
    </row>
    <row r="142" spans="1:9" ht="12.75" customHeight="1" x14ac:dyDescent="0.45">
      <c r="A142" s="138"/>
      <c r="B142" s="138"/>
      <c r="C142" s="134"/>
      <c r="D142" s="134"/>
      <c r="E142" s="134"/>
      <c r="F142" s="134"/>
      <c r="G142" s="134"/>
      <c r="H142" s="134"/>
      <c r="I142" s="134"/>
    </row>
    <row r="143" spans="1:9" ht="12.75" customHeight="1" x14ac:dyDescent="0.45">
      <c r="A143" s="138"/>
      <c r="B143" s="138"/>
      <c r="C143" s="134"/>
      <c r="D143" s="134"/>
      <c r="E143" s="134"/>
      <c r="F143" s="134"/>
      <c r="G143" s="134"/>
      <c r="H143" s="134"/>
      <c r="I143" s="134"/>
    </row>
    <row r="144" spans="1:9" ht="12.75" customHeight="1" x14ac:dyDescent="0.45">
      <c r="A144" s="138"/>
      <c r="B144" s="138"/>
      <c r="C144" s="134"/>
      <c r="D144" s="134"/>
      <c r="E144" s="134"/>
      <c r="F144" s="134"/>
      <c r="G144" s="134"/>
      <c r="H144" s="134"/>
      <c r="I144" s="134"/>
    </row>
    <row r="145" spans="1:9" ht="12.75" customHeight="1" x14ac:dyDescent="0.45">
      <c r="A145" s="138"/>
      <c r="B145" s="138"/>
      <c r="C145" s="134"/>
      <c r="D145" s="134"/>
      <c r="E145" s="134"/>
      <c r="F145" s="134"/>
      <c r="G145" s="134"/>
      <c r="H145" s="134"/>
      <c r="I145" s="134"/>
    </row>
    <row r="146" spans="1:9" ht="12.75" customHeight="1" x14ac:dyDescent="0.45">
      <c r="A146" s="138"/>
      <c r="B146" s="138"/>
      <c r="C146" s="134"/>
      <c r="D146" s="134"/>
      <c r="E146" s="134"/>
      <c r="F146" s="134"/>
      <c r="G146" s="134"/>
      <c r="H146" s="134"/>
      <c r="I146" s="134"/>
    </row>
    <row r="147" spans="1:9" ht="12.75" customHeight="1" x14ac:dyDescent="0.45">
      <c r="A147" s="138"/>
      <c r="B147" s="138"/>
      <c r="C147" s="134"/>
      <c r="D147" s="134"/>
      <c r="E147" s="134"/>
      <c r="F147" s="134"/>
      <c r="G147" s="134"/>
      <c r="H147" s="134"/>
      <c r="I147" s="134"/>
    </row>
    <row r="148" spans="1:9" ht="12.75" customHeight="1" x14ac:dyDescent="0.45">
      <c r="A148" s="138"/>
      <c r="B148" s="138"/>
      <c r="C148" s="134"/>
      <c r="D148" s="134"/>
      <c r="E148" s="134"/>
      <c r="F148" s="134"/>
      <c r="G148" s="134"/>
      <c r="H148" s="134"/>
      <c r="I148" s="134"/>
    </row>
    <row r="149" spans="1:9" ht="12.75" customHeight="1" x14ac:dyDescent="0.45">
      <c r="A149" s="138"/>
      <c r="B149" s="138"/>
      <c r="C149" s="134"/>
      <c r="D149" s="134"/>
      <c r="E149" s="134"/>
      <c r="F149" s="134"/>
      <c r="G149" s="134"/>
      <c r="H149" s="134"/>
      <c r="I149" s="134"/>
    </row>
    <row r="150" spans="1:9" ht="12.75" customHeight="1" x14ac:dyDescent="0.45">
      <c r="A150" s="138"/>
      <c r="B150" s="138"/>
      <c r="C150" s="134"/>
      <c r="D150" s="134"/>
      <c r="E150" s="134"/>
      <c r="F150" s="134"/>
      <c r="G150" s="134"/>
      <c r="H150" s="134"/>
      <c r="I150" s="134"/>
    </row>
    <row r="151" spans="1:9" ht="12.75" customHeight="1" x14ac:dyDescent="0.45">
      <c r="A151" s="138"/>
      <c r="B151" s="138"/>
      <c r="C151" s="134"/>
      <c r="D151" s="134"/>
      <c r="E151" s="134"/>
      <c r="F151" s="134"/>
      <c r="G151" s="134"/>
      <c r="H151" s="134"/>
      <c r="I151" s="134"/>
    </row>
    <row r="152" spans="1:9" ht="12.75" customHeight="1" x14ac:dyDescent="0.45">
      <c r="A152" s="138"/>
      <c r="B152" s="138"/>
      <c r="C152" s="134"/>
      <c r="D152" s="134"/>
      <c r="E152" s="134"/>
      <c r="F152" s="134"/>
      <c r="G152" s="134"/>
      <c r="H152" s="134"/>
      <c r="I152" s="134"/>
    </row>
    <row r="153" spans="1:9" ht="12.75" customHeight="1" x14ac:dyDescent="0.45">
      <c r="A153" s="138"/>
      <c r="B153" s="138"/>
      <c r="C153" s="134"/>
      <c r="D153" s="134"/>
      <c r="E153" s="134"/>
      <c r="F153" s="134"/>
      <c r="G153" s="134"/>
      <c r="H153" s="134"/>
      <c r="I153" s="134"/>
    </row>
    <row r="154" spans="1:9" ht="12.75" customHeight="1" x14ac:dyDescent="0.45">
      <c r="A154" s="138"/>
      <c r="B154" s="138"/>
      <c r="C154" s="134"/>
      <c r="D154" s="134"/>
      <c r="E154" s="134"/>
      <c r="F154" s="134"/>
      <c r="G154" s="134"/>
      <c r="H154" s="134"/>
      <c r="I154" s="134"/>
    </row>
    <row r="155" spans="1:9" ht="12.75" customHeight="1" x14ac:dyDescent="0.45">
      <c r="A155" s="138"/>
      <c r="B155" s="138"/>
      <c r="C155" s="134"/>
      <c r="D155" s="134"/>
      <c r="E155" s="134"/>
      <c r="F155" s="134"/>
      <c r="G155" s="134"/>
      <c r="H155" s="134"/>
      <c r="I155" s="134"/>
    </row>
    <row r="156" spans="1:9" ht="12.75" customHeight="1" x14ac:dyDescent="0.45">
      <c r="A156" s="138"/>
      <c r="B156" s="138"/>
      <c r="C156" s="134"/>
      <c r="D156" s="134"/>
      <c r="E156" s="134"/>
      <c r="F156" s="134"/>
      <c r="G156" s="134"/>
      <c r="H156" s="134"/>
      <c r="I156" s="134"/>
    </row>
    <row r="157" spans="1:9" ht="12.75" customHeight="1" x14ac:dyDescent="0.45">
      <c r="A157" s="138"/>
      <c r="B157" s="138"/>
      <c r="C157" s="134"/>
      <c r="D157" s="134"/>
      <c r="E157" s="134"/>
      <c r="F157" s="134"/>
      <c r="G157" s="134"/>
      <c r="H157" s="134"/>
      <c r="I157" s="134"/>
    </row>
    <row r="158" spans="1:9" ht="12.75" customHeight="1" x14ac:dyDescent="0.45">
      <c r="A158" s="138"/>
      <c r="B158" s="138"/>
      <c r="C158" s="134"/>
      <c r="D158" s="134"/>
      <c r="E158" s="134"/>
      <c r="F158" s="134"/>
      <c r="G158" s="134"/>
      <c r="H158" s="134"/>
      <c r="I158" s="134"/>
    </row>
    <row r="159" spans="1:9" ht="12.75" customHeight="1" x14ac:dyDescent="0.45">
      <c r="A159" s="138"/>
      <c r="B159" s="138"/>
      <c r="C159" s="134"/>
      <c r="D159" s="134"/>
      <c r="E159" s="134"/>
      <c r="F159" s="134"/>
      <c r="G159" s="134"/>
      <c r="H159" s="134"/>
      <c r="I159" s="134"/>
    </row>
    <row r="160" spans="1:9" ht="12.75" customHeight="1" x14ac:dyDescent="0.45">
      <c r="A160" s="138"/>
      <c r="B160" s="138"/>
      <c r="C160" s="134"/>
      <c r="D160" s="134"/>
      <c r="E160" s="134"/>
      <c r="F160" s="134"/>
      <c r="G160" s="134"/>
      <c r="H160" s="134"/>
      <c r="I160" s="134"/>
    </row>
    <row r="161" spans="1:9" ht="12.75" customHeight="1" x14ac:dyDescent="0.45">
      <c r="A161" s="138"/>
      <c r="B161" s="138"/>
      <c r="C161" s="134"/>
      <c r="D161" s="134"/>
      <c r="E161" s="134"/>
      <c r="F161" s="134"/>
      <c r="G161" s="134"/>
      <c r="H161" s="134"/>
      <c r="I161" s="134"/>
    </row>
    <row r="162" spans="1:9" ht="12.75" customHeight="1" x14ac:dyDescent="0.45">
      <c r="A162" s="138"/>
      <c r="B162" s="138"/>
      <c r="C162" s="134"/>
      <c r="D162" s="134"/>
      <c r="E162" s="134"/>
      <c r="F162" s="134"/>
      <c r="G162" s="134"/>
      <c r="H162" s="134"/>
      <c r="I162" s="134"/>
    </row>
    <row r="163" spans="1:9" ht="12.75" customHeight="1" x14ac:dyDescent="0.45">
      <c r="A163" s="138"/>
      <c r="B163" s="138"/>
      <c r="C163" s="134"/>
      <c r="D163" s="134"/>
      <c r="E163" s="134"/>
      <c r="F163" s="134"/>
      <c r="G163" s="134"/>
      <c r="H163" s="134"/>
      <c r="I163" s="134"/>
    </row>
    <row r="164" spans="1:9" ht="12.75" customHeight="1" x14ac:dyDescent="0.45">
      <c r="A164" s="138"/>
      <c r="B164" s="138"/>
      <c r="C164" s="134"/>
      <c r="D164" s="134"/>
      <c r="E164" s="134"/>
      <c r="F164" s="134"/>
      <c r="G164" s="134"/>
      <c r="H164" s="134"/>
      <c r="I164" s="134"/>
    </row>
    <row r="165" spans="1:9" ht="12.75" customHeight="1" x14ac:dyDescent="0.45">
      <c r="A165" s="138"/>
      <c r="B165" s="138"/>
      <c r="C165" s="134"/>
      <c r="D165" s="134"/>
      <c r="E165" s="134"/>
      <c r="F165" s="134"/>
      <c r="G165" s="134"/>
      <c r="H165" s="134"/>
      <c r="I165" s="134"/>
    </row>
    <row r="166" spans="1:9" ht="12.75" customHeight="1" x14ac:dyDescent="0.45">
      <c r="A166" s="138"/>
      <c r="B166" s="138"/>
      <c r="C166" s="134"/>
      <c r="D166" s="134"/>
      <c r="E166" s="134"/>
      <c r="F166" s="134"/>
      <c r="G166" s="134"/>
      <c r="H166" s="134"/>
      <c r="I166" s="134"/>
    </row>
    <row r="167" spans="1:9" ht="12.75" customHeight="1" x14ac:dyDescent="0.45">
      <c r="A167" s="138"/>
      <c r="B167" s="138"/>
      <c r="C167" s="134"/>
      <c r="D167" s="134"/>
      <c r="E167" s="134"/>
      <c r="F167" s="134"/>
      <c r="G167" s="134"/>
      <c r="H167" s="134"/>
      <c r="I167" s="134"/>
    </row>
    <row r="168" spans="1:9" ht="12.75" customHeight="1" x14ac:dyDescent="0.45">
      <c r="A168" s="138"/>
      <c r="B168" s="138"/>
      <c r="C168" s="134"/>
      <c r="D168" s="134"/>
      <c r="E168" s="134"/>
      <c r="F168" s="134"/>
      <c r="G168" s="134"/>
      <c r="H168" s="134"/>
      <c r="I168" s="134"/>
    </row>
    <row r="169" spans="1:9" ht="12.75" customHeight="1" x14ac:dyDescent="0.45">
      <c r="A169" s="138"/>
      <c r="B169" s="138"/>
      <c r="C169" s="134"/>
      <c r="D169" s="134"/>
      <c r="E169" s="134"/>
      <c r="F169" s="134"/>
      <c r="G169" s="134"/>
      <c r="H169" s="134"/>
      <c r="I169" s="134"/>
    </row>
    <row r="170" spans="1:9" ht="12.75" customHeight="1" x14ac:dyDescent="0.45">
      <c r="A170" s="138"/>
      <c r="B170" s="138"/>
      <c r="C170" s="134"/>
      <c r="D170" s="134"/>
      <c r="E170" s="134"/>
      <c r="F170" s="134"/>
      <c r="G170" s="134"/>
      <c r="H170" s="134"/>
      <c r="I170" s="134"/>
    </row>
    <row r="171" spans="1:9" ht="12.75" customHeight="1" x14ac:dyDescent="0.45">
      <c r="A171" s="138"/>
      <c r="B171" s="138"/>
      <c r="C171" s="134"/>
      <c r="D171" s="134"/>
      <c r="E171" s="134"/>
      <c r="F171" s="134"/>
      <c r="G171" s="134"/>
      <c r="H171" s="134"/>
      <c r="I171" s="134"/>
    </row>
    <row r="172" spans="1:9" ht="12.75" customHeight="1" x14ac:dyDescent="0.45">
      <c r="A172" s="138"/>
      <c r="B172" s="138"/>
      <c r="C172" s="134"/>
      <c r="D172" s="134"/>
      <c r="E172" s="134"/>
      <c r="F172" s="134"/>
      <c r="G172" s="134"/>
      <c r="H172" s="134"/>
      <c r="I172" s="134"/>
    </row>
    <row r="173" spans="1:9" ht="12.75" customHeight="1" x14ac:dyDescent="0.45">
      <c r="A173" s="138"/>
      <c r="B173" s="138"/>
      <c r="C173" s="134"/>
      <c r="D173" s="134"/>
      <c r="E173" s="134"/>
      <c r="F173" s="134"/>
      <c r="G173" s="134"/>
      <c r="H173" s="134"/>
      <c r="I173" s="134"/>
    </row>
    <row r="174" spans="1:9" ht="12.75" customHeight="1" x14ac:dyDescent="0.45">
      <c r="A174" s="138"/>
      <c r="B174" s="138"/>
      <c r="C174" s="134"/>
      <c r="D174" s="134"/>
      <c r="E174" s="134"/>
      <c r="F174" s="134"/>
      <c r="G174" s="134"/>
      <c r="H174" s="134"/>
      <c r="I174" s="134"/>
    </row>
    <row r="175" spans="1:9" ht="12.75" customHeight="1" x14ac:dyDescent="0.45">
      <c r="A175" s="138"/>
      <c r="B175" s="138"/>
      <c r="C175" s="134"/>
      <c r="D175" s="134"/>
      <c r="E175" s="134"/>
      <c r="F175" s="134"/>
      <c r="G175" s="134"/>
      <c r="H175" s="134"/>
      <c r="I175" s="134"/>
    </row>
    <row r="176" spans="1:9" ht="12.75" customHeight="1" x14ac:dyDescent="0.45">
      <c r="A176" s="138"/>
      <c r="B176" s="138"/>
      <c r="C176" s="134"/>
      <c r="D176" s="134"/>
      <c r="E176" s="134"/>
      <c r="F176" s="134"/>
      <c r="G176" s="134"/>
      <c r="H176" s="134"/>
      <c r="I176" s="134"/>
    </row>
    <row r="177" spans="1:9" ht="12.75" customHeight="1" x14ac:dyDescent="0.45">
      <c r="A177" s="138"/>
      <c r="B177" s="138"/>
      <c r="C177" s="134"/>
      <c r="D177" s="134"/>
      <c r="E177" s="134"/>
      <c r="F177" s="134"/>
      <c r="G177" s="134"/>
      <c r="H177" s="134"/>
      <c r="I177" s="134"/>
    </row>
    <row r="178" spans="1:9" ht="12.75" customHeight="1" x14ac:dyDescent="0.45">
      <c r="A178" s="138"/>
      <c r="B178" s="138"/>
      <c r="C178" s="134"/>
      <c r="D178" s="134"/>
      <c r="E178" s="134"/>
      <c r="F178" s="134"/>
      <c r="G178" s="134"/>
      <c r="H178" s="134"/>
      <c r="I178" s="134"/>
    </row>
    <row r="179" spans="1:9" ht="12.75" customHeight="1" x14ac:dyDescent="0.45">
      <c r="A179" s="138"/>
      <c r="B179" s="138"/>
      <c r="C179" s="134"/>
      <c r="D179" s="134"/>
      <c r="E179" s="134"/>
      <c r="F179" s="134"/>
      <c r="G179" s="134"/>
      <c r="H179" s="134"/>
      <c r="I179" s="134"/>
    </row>
    <row r="180" spans="1:9" ht="12.75" customHeight="1" x14ac:dyDescent="0.45">
      <c r="A180" s="138"/>
      <c r="B180" s="138"/>
      <c r="C180" s="134"/>
      <c r="D180" s="134"/>
      <c r="E180" s="134"/>
      <c r="F180" s="134"/>
      <c r="G180" s="134"/>
      <c r="H180" s="134"/>
      <c r="I180" s="134"/>
    </row>
    <row r="181" spans="1:9" ht="12.75" customHeight="1" x14ac:dyDescent="0.45">
      <c r="A181" s="138"/>
      <c r="B181" s="138"/>
      <c r="C181" s="134"/>
      <c r="D181" s="134"/>
      <c r="E181" s="134"/>
      <c r="F181" s="134"/>
      <c r="G181" s="134"/>
      <c r="H181" s="134"/>
      <c r="I181" s="134"/>
    </row>
    <row r="182" spans="1:9" ht="12.75" customHeight="1" x14ac:dyDescent="0.45">
      <c r="A182" s="138"/>
      <c r="B182" s="138"/>
      <c r="C182" s="134"/>
      <c r="D182" s="134"/>
      <c r="E182" s="134"/>
      <c r="F182" s="134"/>
      <c r="G182" s="134"/>
      <c r="H182" s="134"/>
      <c r="I182" s="134"/>
    </row>
    <row r="183" spans="1:9" ht="12.75" customHeight="1" x14ac:dyDescent="0.45">
      <c r="A183" s="138"/>
      <c r="B183" s="138"/>
      <c r="C183" s="134"/>
      <c r="D183" s="134"/>
      <c r="E183" s="134"/>
      <c r="F183" s="134"/>
      <c r="G183" s="134"/>
      <c r="H183" s="134"/>
      <c r="I183" s="134"/>
    </row>
    <row r="184" spans="1:9" ht="12.75" customHeight="1" x14ac:dyDescent="0.45">
      <c r="A184" s="138"/>
      <c r="B184" s="138"/>
      <c r="C184" s="134"/>
      <c r="D184" s="134"/>
      <c r="E184" s="134"/>
      <c r="F184" s="134"/>
      <c r="G184" s="134"/>
      <c r="H184" s="134"/>
      <c r="I184" s="134"/>
    </row>
    <row r="185" spans="1:9" ht="12.75" customHeight="1" x14ac:dyDescent="0.45">
      <c r="A185" s="138"/>
      <c r="B185" s="138"/>
      <c r="C185" s="134"/>
      <c r="D185" s="134"/>
      <c r="E185" s="134"/>
      <c r="F185" s="134"/>
      <c r="G185" s="134"/>
      <c r="H185" s="134"/>
      <c r="I185" s="134"/>
    </row>
    <row r="186" spans="1:9" ht="12.75" customHeight="1" x14ac:dyDescent="0.45">
      <c r="A186" s="138"/>
      <c r="B186" s="138"/>
      <c r="C186" s="134"/>
      <c r="D186" s="134"/>
      <c r="E186" s="134"/>
      <c r="F186" s="134"/>
      <c r="G186" s="134"/>
      <c r="H186" s="134"/>
      <c r="I186" s="134"/>
    </row>
    <row r="187" spans="1:9" ht="12.75" customHeight="1" x14ac:dyDescent="0.45">
      <c r="A187" s="138"/>
      <c r="B187" s="138"/>
      <c r="C187" s="134"/>
      <c r="D187" s="134"/>
      <c r="E187" s="134"/>
      <c r="F187" s="134"/>
      <c r="G187" s="134"/>
      <c r="H187" s="134"/>
      <c r="I187" s="134"/>
    </row>
    <row r="188" spans="1:9" ht="12.75" customHeight="1" x14ac:dyDescent="0.45">
      <c r="A188" s="138"/>
      <c r="B188" s="138"/>
      <c r="C188" s="134"/>
      <c r="D188" s="134"/>
      <c r="E188" s="134"/>
      <c r="F188" s="134"/>
      <c r="G188" s="134"/>
      <c r="H188" s="134"/>
      <c r="I188" s="134"/>
    </row>
    <row r="189" spans="1:9" ht="12.75" customHeight="1" x14ac:dyDescent="0.45">
      <c r="A189" s="138"/>
      <c r="B189" s="138"/>
      <c r="C189" s="134"/>
      <c r="D189" s="134"/>
      <c r="E189" s="134"/>
      <c r="F189" s="134"/>
      <c r="G189" s="134"/>
      <c r="H189" s="134"/>
      <c r="I189" s="134"/>
    </row>
    <row r="190" spans="1:9" ht="12.75" customHeight="1" x14ac:dyDescent="0.45">
      <c r="A190" s="138"/>
      <c r="B190" s="138"/>
      <c r="C190" s="134"/>
      <c r="D190" s="134"/>
      <c r="E190" s="134"/>
      <c r="F190" s="134"/>
      <c r="G190" s="134"/>
      <c r="H190" s="134"/>
      <c r="I190" s="134"/>
    </row>
    <row r="191" spans="1:9" ht="12.75" customHeight="1" x14ac:dyDescent="0.45">
      <c r="A191" s="138"/>
      <c r="B191" s="138"/>
      <c r="C191" s="134"/>
      <c r="D191" s="134"/>
      <c r="E191" s="134"/>
      <c r="F191" s="134"/>
      <c r="G191" s="134"/>
      <c r="H191" s="134"/>
      <c r="I191" s="134"/>
    </row>
    <row r="192" spans="1:9" ht="12.75" customHeight="1" x14ac:dyDescent="0.45">
      <c r="A192" s="138"/>
      <c r="B192" s="138"/>
      <c r="C192" s="134"/>
      <c r="D192" s="134"/>
      <c r="E192" s="134"/>
      <c r="F192" s="134"/>
      <c r="G192" s="134"/>
      <c r="H192" s="134"/>
      <c r="I192" s="134"/>
    </row>
    <row r="193" spans="1:9" ht="12.75" customHeight="1" x14ac:dyDescent="0.45">
      <c r="A193" s="138"/>
      <c r="B193" s="138"/>
      <c r="C193" s="134"/>
      <c r="D193" s="134"/>
      <c r="E193" s="134"/>
      <c r="F193" s="134"/>
      <c r="G193" s="134"/>
      <c r="H193" s="134"/>
      <c r="I193" s="134"/>
    </row>
    <row r="194" spans="1:9" ht="12.75" customHeight="1" x14ac:dyDescent="0.45">
      <c r="A194" s="138"/>
      <c r="B194" s="138"/>
      <c r="C194" s="134"/>
      <c r="D194" s="134"/>
      <c r="E194" s="134"/>
      <c r="F194" s="134"/>
      <c r="G194" s="134"/>
      <c r="H194" s="134"/>
      <c r="I194" s="134"/>
    </row>
    <row r="195" spans="1:9" ht="12.75" customHeight="1" x14ac:dyDescent="0.45">
      <c r="A195" s="138"/>
      <c r="B195" s="138"/>
      <c r="C195" s="134"/>
      <c r="D195" s="134"/>
      <c r="E195" s="134"/>
      <c r="F195" s="134"/>
      <c r="G195" s="134"/>
      <c r="H195" s="134"/>
      <c r="I195" s="134"/>
    </row>
    <row r="196" spans="1:9" ht="12.75" customHeight="1" x14ac:dyDescent="0.45">
      <c r="A196" s="138"/>
      <c r="B196" s="138"/>
      <c r="C196" s="134"/>
      <c r="D196" s="134"/>
      <c r="E196" s="134"/>
      <c r="F196" s="134"/>
      <c r="G196" s="134"/>
      <c r="H196" s="134"/>
      <c r="I196" s="134"/>
    </row>
    <row r="197" spans="1:9" ht="12.75" customHeight="1" x14ac:dyDescent="0.45">
      <c r="A197" s="138"/>
      <c r="B197" s="138"/>
      <c r="C197" s="134"/>
      <c r="D197" s="134"/>
      <c r="E197" s="134"/>
      <c r="F197" s="134"/>
      <c r="G197" s="134"/>
      <c r="H197" s="134"/>
      <c r="I197" s="134"/>
    </row>
    <row r="198" spans="1:9" ht="12.75" customHeight="1" x14ac:dyDescent="0.45">
      <c r="A198" s="138"/>
      <c r="B198" s="138"/>
      <c r="C198" s="134"/>
      <c r="D198" s="134"/>
      <c r="E198" s="134"/>
      <c r="F198" s="134"/>
      <c r="G198" s="134"/>
      <c r="H198" s="134"/>
      <c r="I198" s="134"/>
    </row>
    <row r="199" spans="1:9" ht="12.75" customHeight="1" x14ac:dyDescent="0.45">
      <c r="A199" s="138"/>
      <c r="B199" s="138"/>
      <c r="C199" s="134"/>
      <c r="D199" s="134"/>
      <c r="E199" s="134"/>
      <c r="F199" s="134"/>
      <c r="G199" s="134"/>
      <c r="H199" s="134"/>
      <c r="I199" s="134"/>
    </row>
    <row r="200" spans="1:9" ht="12.75" customHeight="1" x14ac:dyDescent="0.45">
      <c r="A200" s="138"/>
      <c r="B200" s="138"/>
      <c r="C200" s="134"/>
      <c r="D200" s="134"/>
      <c r="E200" s="134"/>
      <c r="F200" s="134"/>
      <c r="G200" s="134"/>
      <c r="H200" s="134"/>
      <c r="I200" s="134"/>
    </row>
    <row r="201" spans="1:9" ht="12.75" customHeight="1" x14ac:dyDescent="0.45">
      <c r="A201" s="138"/>
      <c r="B201" s="138"/>
      <c r="C201" s="134"/>
      <c r="D201" s="134"/>
      <c r="E201" s="134"/>
      <c r="F201" s="134"/>
      <c r="G201" s="134"/>
      <c r="H201" s="134"/>
      <c r="I201" s="134"/>
    </row>
    <row r="202" spans="1:9" ht="12.75" customHeight="1" x14ac:dyDescent="0.45">
      <c r="A202" s="138"/>
      <c r="B202" s="138"/>
      <c r="C202" s="134"/>
      <c r="D202" s="134"/>
      <c r="E202" s="134"/>
      <c r="F202" s="134"/>
      <c r="G202" s="134"/>
      <c r="H202" s="134"/>
      <c r="I202" s="134"/>
    </row>
    <row r="203" spans="1:9" ht="12.75" customHeight="1" x14ac:dyDescent="0.45">
      <c r="A203" s="138"/>
      <c r="B203" s="138"/>
      <c r="C203" s="134"/>
      <c r="D203" s="134"/>
      <c r="E203" s="134"/>
      <c r="F203" s="134"/>
      <c r="G203" s="134"/>
      <c r="H203" s="134"/>
      <c r="I203" s="134"/>
    </row>
    <row r="204" spans="1:9" ht="12.75" customHeight="1" x14ac:dyDescent="0.45">
      <c r="A204" s="138"/>
      <c r="B204" s="138"/>
      <c r="C204" s="134"/>
      <c r="D204" s="134"/>
      <c r="E204" s="134"/>
      <c r="F204" s="134"/>
      <c r="G204" s="134"/>
      <c r="H204" s="134"/>
      <c r="I204" s="134"/>
    </row>
    <row r="205" spans="1:9" ht="12.75" customHeight="1" x14ac:dyDescent="0.45">
      <c r="A205" s="138"/>
      <c r="B205" s="138"/>
      <c r="C205" s="134"/>
      <c r="D205" s="134"/>
      <c r="E205" s="134"/>
      <c r="F205" s="134"/>
      <c r="G205" s="134"/>
      <c r="H205" s="134"/>
      <c r="I205" s="134"/>
    </row>
    <row r="206" spans="1:9" ht="12.75" customHeight="1" x14ac:dyDescent="0.45">
      <c r="A206" s="138"/>
      <c r="B206" s="138"/>
      <c r="C206" s="134"/>
      <c r="D206" s="134"/>
      <c r="E206" s="134"/>
      <c r="F206" s="134"/>
      <c r="G206" s="134"/>
      <c r="H206" s="134"/>
      <c r="I206" s="134"/>
    </row>
    <row r="207" spans="1:9" ht="12.75" customHeight="1" x14ac:dyDescent="0.45">
      <c r="A207" s="138"/>
      <c r="B207" s="138"/>
      <c r="C207" s="134"/>
      <c r="D207" s="134"/>
      <c r="E207" s="134"/>
      <c r="F207" s="134"/>
      <c r="G207" s="134"/>
      <c r="H207" s="134"/>
      <c r="I207" s="134"/>
    </row>
    <row r="208" spans="1:9" ht="12.75" customHeight="1" x14ac:dyDescent="0.45">
      <c r="A208" s="138"/>
      <c r="B208" s="138"/>
      <c r="C208" s="134"/>
      <c r="D208" s="134"/>
      <c r="E208" s="134"/>
      <c r="F208" s="134"/>
      <c r="G208" s="134"/>
      <c r="H208" s="134"/>
      <c r="I208" s="134"/>
    </row>
    <row r="209" spans="1:9" ht="12.75" customHeight="1" x14ac:dyDescent="0.45">
      <c r="A209" s="138"/>
      <c r="B209" s="138"/>
      <c r="C209" s="134"/>
      <c r="D209" s="134"/>
      <c r="E209" s="134"/>
      <c r="F209" s="134"/>
      <c r="G209" s="134"/>
      <c r="H209" s="134"/>
      <c r="I209" s="134"/>
    </row>
    <row r="210" spans="1:9" ht="12.75" customHeight="1" x14ac:dyDescent="0.45">
      <c r="A210" s="138"/>
      <c r="B210" s="138"/>
      <c r="C210" s="134"/>
      <c r="D210" s="134"/>
      <c r="E210" s="134"/>
      <c r="F210" s="134"/>
      <c r="G210" s="134"/>
      <c r="H210" s="134"/>
      <c r="I210" s="134"/>
    </row>
    <row r="211" spans="1:9" ht="12.75" customHeight="1" x14ac:dyDescent="0.45">
      <c r="A211" s="138"/>
      <c r="B211" s="138"/>
      <c r="C211" s="134"/>
      <c r="D211" s="134"/>
      <c r="E211" s="134"/>
      <c r="F211" s="134"/>
      <c r="G211" s="134"/>
      <c r="H211" s="134"/>
      <c r="I211" s="134"/>
    </row>
    <row r="212" spans="1:9" ht="12.75" customHeight="1" x14ac:dyDescent="0.45">
      <c r="A212" s="138"/>
      <c r="B212" s="138"/>
      <c r="C212" s="134"/>
      <c r="D212" s="134"/>
      <c r="E212" s="134"/>
      <c r="F212" s="134"/>
      <c r="G212" s="134"/>
      <c r="H212" s="134"/>
      <c r="I212" s="134"/>
    </row>
    <row r="213" spans="1:9" ht="12.75" customHeight="1" x14ac:dyDescent="0.45">
      <c r="A213" s="138"/>
      <c r="B213" s="138"/>
      <c r="C213" s="134"/>
      <c r="D213" s="134"/>
      <c r="E213" s="134"/>
      <c r="F213" s="134"/>
      <c r="G213" s="134"/>
      <c r="H213" s="134"/>
      <c r="I213" s="134"/>
    </row>
    <row r="214" spans="1:9" ht="12.75" customHeight="1" x14ac:dyDescent="0.45">
      <c r="A214" s="138"/>
      <c r="B214" s="138"/>
      <c r="C214" s="134"/>
      <c r="D214" s="134"/>
      <c r="E214" s="134"/>
      <c r="F214" s="134"/>
      <c r="G214" s="134"/>
      <c r="H214" s="134"/>
      <c r="I214" s="134"/>
    </row>
    <row r="215" spans="1:9" ht="12.75" customHeight="1" x14ac:dyDescent="0.45">
      <c r="A215" s="138"/>
      <c r="B215" s="138"/>
      <c r="C215" s="134"/>
      <c r="D215" s="134"/>
      <c r="E215" s="134"/>
      <c r="F215" s="134"/>
      <c r="G215" s="134"/>
      <c r="H215" s="134"/>
      <c r="I215" s="134"/>
    </row>
    <row r="216" spans="1:9" ht="12.75" customHeight="1" x14ac:dyDescent="0.45">
      <c r="A216" s="138"/>
      <c r="B216" s="138"/>
      <c r="C216" s="134"/>
      <c r="D216" s="134"/>
      <c r="E216" s="134"/>
      <c r="F216" s="134"/>
      <c r="G216" s="134"/>
      <c r="H216" s="134"/>
      <c r="I216" s="134"/>
    </row>
    <row r="217" spans="1:9" ht="12.75" customHeight="1" x14ac:dyDescent="0.45">
      <c r="A217" s="138"/>
      <c r="B217" s="138"/>
      <c r="C217" s="134"/>
      <c r="D217" s="134"/>
      <c r="E217" s="134"/>
      <c r="F217" s="134"/>
      <c r="G217" s="134"/>
      <c r="H217" s="134"/>
      <c r="I217" s="134"/>
    </row>
    <row r="218" spans="1:9" ht="12.75" customHeight="1" x14ac:dyDescent="0.45">
      <c r="A218" s="138"/>
      <c r="B218" s="138"/>
      <c r="C218" s="134"/>
      <c r="D218" s="134"/>
      <c r="E218" s="134"/>
      <c r="F218" s="134"/>
      <c r="G218" s="134"/>
      <c r="H218" s="134"/>
      <c r="I218" s="134"/>
    </row>
    <row r="219" spans="1:9" ht="12.75" customHeight="1" x14ac:dyDescent="0.45">
      <c r="A219" s="138"/>
      <c r="B219" s="138"/>
      <c r="C219" s="134"/>
      <c r="D219" s="134"/>
      <c r="E219" s="134"/>
      <c r="F219" s="134"/>
      <c r="G219" s="134"/>
      <c r="H219" s="134"/>
      <c r="I219" s="134"/>
    </row>
    <row r="220" spans="1:9" ht="12.75" customHeight="1" x14ac:dyDescent="0.45">
      <c r="A220" s="138"/>
      <c r="B220" s="138"/>
      <c r="C220" s="134"/>
      <c r="D220" s="134"/>
      <c r="E220" s="134"/>
      <c r="F220" s="134"/>
      <c r="G220" s="134"/>
      <c r="H220" s="134"/>
      <c r="I220" s="134"/>
    </row>
    <row r="221" spans="1:9" ht="12.75" customHeight="1" x14ac:dyDescent="0.45">
      <c r="A221" s="138"/>
      <c r="B221" s="138"/>
      <c r="C221" s="134"/>
      <c r="D221" s="134"/>
      <c r="E221" s="134"/>
      <c r="F221" s="134"/>
      <c r="G221" s="134"/>
      <c r="H221" s="134"/>
      <c r="I221" s="134"/>
    </row>
    <row r="222" spans="1:9" ht="12.75" customHeight="1" x14ac:dyDescent="0.45">
      <c r="A222" s="138"/>
      <c r="B222" s="138"/>
      <c r="C222" s="134"/>
      <c r="D222" s="134"/>
      <c r="E222" s="134"/>
      <c r="F222" s="134"/>
      <c r="G222" s="134"/>
      <c r="H222" s="134"/>
      <c r="I222" s="134"/>
    </row>
    <row r="223" spans="1:9" ht="12.75" customHeight="1" x14ac:dyDescent="0.45">
      <c r="A223" s="138"/>
      <c r="B223" s="138"/>
      <c r="C223" s="134"/>
      <c r="D223" s="134"/>
      <c r="E223" s="134"/>
      <c r="F223" s="134"/>
      <c r="G223" s="134"/>
      <c r="H223" s="134"/>
      <c r="I223" s="134"/>
    </row>
    <row r="224" spans="1:9" ht="12.75" customHeight="1" x14ac:dyDescent="0.45">
      <c r="A224" s="138"/>
      <c r="B224" s="138"/>
      <c r="C224" s="134"/>
      <c r="D224" s="134"/>
      <c r="E224" s="134"/>
      <c r="F224" s="134"/>
      <c r="G224" s="134"/>
      <c r="H224" s="134"/>
      <c r="I224" s="134"/>
    </row>
    <row r="225" spans="1:9" ht="12.75" customHeight="1" x14ac:dyDescent="0.45">
      <c r="A225" s="138"/>
      <c r="B225" s="138"/>
      <c r="C225" s="134"/>
      <c r="D225" s="134"/>
      <c r="E225" s="134"/>
      <c r="F225" s="134"/>
      <c r="G225" s="134"/>
      <c r="H225" s="134"/>
      <c r="I225" s="134"/>
    </row>
    <row r="226" spans="1:9" ht="12.75" customHeight="1" x14ac:dyDescent="0.45">
      <c r="A226" s="138"/>
      <c r="B226" s="138"/>
      <c r="C226" s="134"/>
      <c r="D226" s="134"/>
      <c r="E226" s="134"/>
      <c r="F226" s="134"/>
      <c r="G226" s="134"/>
      <c r="H226" s="134"/>
      <c r="I226" s="134"/>
    </row>
    <row r="227" spans="1:9" ht="12.75" customHeight="1" x14ac:dyDescent="0.45">
      <c r="A227" s="138"/>
      <c r="B227" s="138"/>
      <c r="C227" s="134"/>
      <c r="D227" s="134"/>
      <c r="E227" s="134"/>
      <c r="F227" s="134"/>
      <c r="G227" s="134"/>
      <c r="H227" s="134"/>
      <c r="I227" s="134"/>
    </row>
    <row r="228" spans="1:9" ht="12.75" customHeight="1" x14ac:dyDescent="0.45">
      <c r="A228" s="138"/>
      <c r="B228" s="138"/>
      <c r="C228" s="134"/>
      <c r="D228" s="134"/>
      <c r="E228" s="134"/>
      <c r="F228" s="134"/>
      <c r="G228" s="134"/>
      <c r="H228" s="134"/>
      <c r="I228" s="134"/>
    </row>
    <row r="229" spans="1:9" ht="12.75" customHeight="1" x14ac:dyDescent="0.45">
      <c r="A229" s="138"/>
      <c r="B229" s="138"/>
      <c r="C229" s="134"/>
      <c r="D229" s="134"/>
      <c r="E229" s="134"/>
      <c r="F229" s="134"/>
      <c r="G229" s="134"/>
      <c r="H229" s="134"/>
      <c r="I229" s="134"/>
    </row>
    <row r="230" spans="1:9" ht="12.75" customHeight="1" x14ac:dyDescent="0.45">
      <c r="A230" s="138"/>
      <c r="B230" s="138"/>
      <c r="C230" s="134"/>
      <c r="D230" s="134"/>
      <c r="E230" s="134"/>
      <c r="F230" s="134"/>
      <c r="G230" s="134"/>
      <c r="H230" s="134"/>
      <c r="I230" s="134"/>
    </row>
    <row r="231" spans="1:9" ht="12.75" customHeight="1" x14ac:dyDescent="0.45">
      <c r="A231" s="138"/>
      <c r="B231" s="138"/>
      <c r="C231" s="134"/>
      <c r="D231" s="134"/>
      <c r="E231" s="134"/>
      <c r="F231" s="134"/>
      <c r="G231" s="134"/>
      <c r="H231" s="134"/>
      <c r="I231" s="134"/>
    </row>
    <row r="232" spans="1:9" ht="12.75" customHeight="1" x14ac:dyDescent="0.45">
      <c r="A232" s="138"/>
      <c r="B232" s="138"/>
      <c r="C232" s="134"/>
      <c r="D232" s="134"/>
      <c r="E232" s="134"/>
      <c r="F232" s="134"/>
      <c r="G232" s="134"/>
      <c r="H232" s="134"/>
      <c r="I232" s="134"/>
    </row>
    <row r="233" spans="1:9" ht="12.75" customHeight="1" x14ac:dyDescent="0.45">
      <c r="A233" s="138"/>
      <c r="B233" s="138"/>
      <c r="C233" s="134"/>
      <c r="D233" s="134"/>
      <c r="E233" s="134"/>
      <c r="F233" s="134"/>
      <c r="G233" s="134"/>
      <c r="H233" s="134"/>
      <c r="I233" s="134"/>
    </row>
    <row r="234" spans="1:9" ht="12.75" customHeight="1" x14ac:dyDescent="0.45">
      <c r="A234" s="138"/>
      <c r="B234" s="138"/>
      <c r="C234" s="134"/>
      <c r="D234" s="134"/>
      <c r="E234" s="134"/>
      <c r="F234" s="134"/>
      <c r="G234" s="134"/>
      <c r="H234" s="134"/>
      <c r="I234" s="134"/>
    </row>
    <row r="235" spans="1:9" ht="12.75" customHeight="1" x14ac:dyDescent="0.45">
      <c r="A235" s="138"/>
      <c r="B235" s="138"/>
      <c r="C235" s="134"/>
      <c r="D235" s="134"/>
      <c r="E235" s="134"/>
      <c r="F235" s="134"/>
      <c r="G235" s="134"/>
      <c r="H235" s="134"/>
      <c r="I235" s="134"/>
    </row>
    <row r="236" spans="1:9" ht="12.75" customHeight="1" x14ac:dyDescent="0.45">
      <c r="A236" s="138"/>
      <c r="B236" s="138"/>
      <c r="C236" s="134"/>
      <c r="D236" s="134"/>
      <c r="E236" s="134"/>
      <c r="F236" s="134"/>
      <c r="G236" s="134"/>
      <c r="H236" s="134"/>
      <c r="I236" s="134"/>
    </row>
    <row r="237" spans="1:9" ht="12.75" customHeight="1" x14ac:dyDescent="0.45">
      <c r="A237" s="138"/>
      <c r="B237" s="138"/>
      <c r="C237" s="134"/>
      <c r="D237" s="134"/>
      <c r="E237" s="134"/>
      <c r="F237" s="134"/>
      <c r="G237" s="134"/>
      <c r="H237" s="134"/>
      <c r="I237" s="134"/>
    </row>
    <row r="238" spans="1:9" ht="12.75" customHeight="1" x14ac:dyDescent="0.45">
      <c r="A238" s="138"/>
      <c r="B238" s="138"/>
      <c r="C238" s="134"/>
      <c r="D238" s="134"/>
      <c r="E238" s="134"/>
      <c r="F238" s="134"/>
      <c r="G238" s="134"/>
      <c r="H238" s="134"/>
      <c r="I238" s="134"/>
    </row>
    <row r="239" spans="1:9" ht="12.75" customHeight="1" x14ac:dyDescent="0.45">
      <c r="A239" s="138"/>
      <c r="B239" s="138"/>
      <c r="C239" s="134"/>
      <c r="D239" s="134"/>
      <c r="E239" s="134"/>
      <c r="F239" s="134"/>
      <c r="G239" s="134"/>
      <c r="H239" s="134"/>
      <c r="I239" s="134"/>
    </row>
    <row r="240" spans="1:9" ht="12.75" customHeight="1" x14ac:dyDescent="0.45">
      <c r="A240" s="138"/>
      <c r="B240" s="138"/>
      <c r="C240" s="134"/>
      <c r="D240" s="134"/>
      <c r="E240" s="134"/>
      <c r="F240" s="134"/>
      <c r="G240" s="134"/>
      <c r="H240" s="134"/>
      <c r="I240" s="134"/>
    </row>
    <row r="241" spans="1:9" ht="12.75" customHeight="1" x14ac:dyDescent="0.45">
      <c r="A241" s="138"/>
      <c r="B241" s="138"/>
      <c r="C241" s="134"/>
      <c r="D241" s="134"/>
      <c r="E241" s="134"/>
      <c r="F241" s="134"/>
      <c r="G241" s="134"/>
      <c r="H241" s="134"/>
      <c r="I241" s="134"/>
    </row>
    <row r="242" spans="1:9" ht="12.75" customHeight="1" x14ac:dyDescent="0.45">
      <c r="A242" s="138"/>
      <c r="B242" s="138"/>
      <c r="C242" s="134"/>
      <c r="D242" s="134"/>
      <c r="E242" s="134"/>
      <c r="F242" s="134"/>
      <c r="G242" s="134"/>
      <c r="H242" s="134"/>
      <c r="I242" s="134"/>
    </row>
    <row r="243" spans="1:9" ht="12.75" customHeight="1" x14ac:dyDescent="0.45">
      <c r="A243" s="138"/>
      <c r="B243" s="138"/>
      <c r="C243" s="134"/>
      <c r="D243" s="134"/>
      <c r="E243" s="134"/>
      <c r="F243" s="134"/>
      <c r="G243" s="134"/>
      <c r="H243" s="134"/>
      <c r="I243" s="134"/>
    </row>
    <row r="244" spans="1:9" ht="12.75" customHeight="1" x14ac:dyDescent="0.45">
      <c r="A244" s="138"/>
      <c r="B244" s="138"/>
      <c r="C244" s="134"/>
      <c r="D244" s="134"/>
      <c r="E244" s="134"/>
      <c r="F244" s="134"/>
      <c r="G244" s="134"/>
      <c r="H244" s="134"/>
      <c r="I244" s="134"/>
    </row>
    <row r="245" spans="1:9" ht="12.75" customHeight="1" x14ac:dyDescent="0.45">
      <c r="A245" s="138"/>
      <c r="B245" s="138"/>
      <c r="C245" s="134"/>
      <c r="D245" s="134"/>
      <c r="E245" s="134"/>
      <c r="F245" s="134"/>
      <c r="G245" s="134"/>
      <c r="H245" s="134"/>
      <c r="I245" s="134"/>
    </row>
    <row r="246" spans="1:9" ht="12.75" customHeight="1" x14ac:dyDescent="0.45">
      <c r="A246" s="138"/>
      <c r="B246" s="138"/>
      <c r="C246" s="134"/>
      <c r="D246" s="134"/>
      <c r="E246" s="134"/>
      <c r="F246" s="134"/>
      <c r="G246" s="134"/>
      <c r="H246" s="134"/>
      <c r="I246" s="134"/>
    </row>
    <row r="247" spans="1:9" ht="12.75" customHeight="1" x14ac:dyDescent="0.45">
      <c r="A247" s="138"/>
      <c r="B247" s="138"/>
      <c r="C247" s="134"/>
      <c r="D247" s="134"/>
      <c r="E247" s="134"/>
      <c r="F247" s="134"/>
      <c r="G247" s="134"/>
      <c r="H247" s="134"/>
      <c r="I247" s="134"/>
    </row>
    <row r="248" spans="1:9" ht="12.75" customHeight="1" x14ac:dyDescent="0.45">
      <c r="A248" s="138"/>
      <c r="B248" s="138"/>
      <c r="C248" s="134"/>
      <c r="D248" s="134"/>
      <c r="E248" s="134"/>
      <c r="F248" s="134"/>
      <c r="G248" s="134"/>
      <c r="H248" s="134"/>
      <c r="I248" s="134"/>
    </row>
    <row r="249" spans="1:9" ht="12.75" customHeight="1" x14ac:dyDescent="0.45">
      <c r="A249" s="138"/>
      <c r="B249" s="138"/>
      <c r="C249" s="134"/>
      <c r="D249" s="134"/>
      <c r="E249" s="134"/>
      <c r="F249" s="134"/>
      <c r="G249" s="134"/>
      <c r="H249" s="134"/>
      <c r="I249" s="134"/>
    </row>
    <row r="250" spans="1:9" ht="12.75" customHeight="1" x14ac:dyDescent="0.45">
      <c r="A250" s="138"/>
      <c r="B250" s="138"/>
      <c r="C250" s="134"/>
      <c r="D250" s="134"/>
      <c r="E250" s="134"/>
      <c r="F250" s="134"/>
      <c r="G250" s="134"/>
      <c r="H250" s="134"/>
      <c r="I250" s="134"/>
    </row>
    <row r="251" spans="1:9" ht="12.75" customHeight="1" x14ac:dyDescent="0.45">
      <c r="A251" s="138"/>
      <c r="B251" s="138"/>
      <c r="C251" s="134"/>
      <c r="D251" s="134"/>
      <c r="E251" s="134"/>
      <c r="F251" s="134"/>
      <c r="G251" s="134"/>
      <c r="H251" s="134"/>
      <c r="I251" s="134"/>
    </row>
    <row r="252" spans="1:9" ht="12.75" customHeight="1" x14ac:dyDescent="0.45">
      <c r="A252" s="138"/>
      <c r="B252" s="138"/>
      <c r="C252" s="134"/>
      <c r="D252" s="134"/>
      <c r="E252" s="134"/>
      <c r="F252" s="134"/>
      <c r="G252" s="134"/>
      <c r="H252" s="134"/>
      <c r="I252" s="134"/>
    </row>
    <row r="253" spans="1:9" ht="12.75" customHeight="1" x14ac:dyDescent="0.45">
      <c r="A253" s="138"/>
      <c r="B253" s="138"/>
      <c r="C253" s="134"/>
      <c r="D253" s="134"/>
      <c r="E253" s="134"/>
      <c r="F253" s="134"/>
      <c r="G253" s="134"/>
      <c r="H253" s="134"/>
      <c r="I253" s="134"/>
    </row>
    <row r="254" spans="1:9" ht="12.75" customHeight="1" x14ac:dyDescent="0.45">
      <c r="A254" s="138"/>
      <c r="B254" s="138"/>
      <c r="C254" s="134"/>
      <c r="D254" s="134"/>
      <c r="E254" s="134"/>
      <c r="F254" s="134"/>
      <c r="G254" s="134"/>
      <c r="H254" s="134"/>
      <c r="I254" s="134"/>
    </row>
    <row r="255" spans="1:9" ht="12.75" customHeight="1" x14ac:dyDescent="0.45">
      <c r="A255" s="138"/>
      <c r="B255" s="138"/>
      <c r="C255" s="134"/>
      <c r="D255" s="134"/>
      <c r="E255" s="134"/>
      <c r="F255" s="134"/>
      <c r="G255" s="134"/>
      <c r="H255" s="134"/>
      <c r="I255" s="134"/>
    </row>
    <row r="256" spans="1:9" ht="12.75" customHeight="1" x14ac:dyDescent="0.45">
      <c r="A256" s="138"/>
      <c r="B256" s="138"/>
      <c r="C256" s="134"/>
      <c r="D256" s="134"/>
      <c r="E256" s="134"/>
      <c r="F256" s="134"/>
      <c r="G256" s="134"/>
      <c r="H256" s="134"/>
      <c r="I256" s="134"/>
    </row>
    <row r="257" spans="1:9" ht="12.75" customHeight="1" x14ac:dyDescent="0.45">
      <c r="A257" s="138"/>
      <c r="B257" s="138"/>
      <c r="C257" s="134"/>
      <c r="D257" s="134"/>
      <c r="E257" s="134"/>
      <c r="F257" s="134"/>
      <c r="G257" s="134"/>
      <c r="H257" s="134"/>
      <c r="I257" s="134"/>
    </row>
    <row r="258" spans="1:9" ht="12.75" customHeight="1" x14ac:dyDescent="0.45">
      <c r="A258" s="138"/>
      <c r="B258" s="138"/>
      <c r="C258" s="134"/>
      <c r="D258" s="134"/>
      <c r="E258" s="134"/>
      <c r="F258" s="134"/>
      <c r="G258" s="134"/>
      <c r="H258" s="134"/>
      <c r="I258" s="134"/>
    </row>
    <row r="259" spans="1:9" ht="12.75" customHeight="1" x14ac:dyDescent="0.45">
      <c r="A259" s="138"/>
      <c r="B259" s="138"/>
      <c r="C259" s="134"/>
      <c r="D259" s="134"/>
      <c r="E259" s="134"/>
      <c r="F259" s="134"/>
      <c r="G259" s="134"/>
      <c r="H259" s="134"/>
      <c r="I259" s="134"/>
    </row>
    <row r="260" spans="1:9" ht="12.75" customHeight="1" x14ac:dyDescent="0.45">
      <c r="A260" s="138"/>
      <c r="B260" s="138"/>
      <c r="C260" s="134"/>
      <c r="D260" s="134"/>
      <c r="E260" s="134"/>
      <c r="F260" s="134"/>
      <c r="G260" s="134"/>
      <c r="H260" s="134"/>
      <c r="I260" s="134"/>
    </row>
    <row r="261" spans="1:9" ht="12.75" customHeight="1" x14ac:dyDescent="0.45">
      <c r="A261" s="138"/>
      <c r="B261" s="138"/>
      <c r="C261" s="134"/>
      <c r="D261" s="134"/>
      <c r="E261" s="134"/>
      <c r="F261" s="134"/>
      <c r="G261" s="134"/>
      <c r="H261" s="134"/>
      <c r="I261" s="134"/>
    </row>
    <row r="262" spans="1:9" ht="12.75" customHeight="1" x14ac:dyDescent="0.45">
      <c r="A262" s="138"/>
      <c r="B262" s="138"/>
      <c r="C262" s="134"/>
      <c r="D262" s="134"/>
      <c r="E262" s="134"/>
      <c r="F262" s="134"/>
      <c r="G262" s="134"/>
      <c r="H262" s="134"/>
      <c r="I262" s="134"/>
    </row>
    <row r="263" spans="1:9" ht="12.75" customHeight="1" x14ac:dyDescent="0.45">
      <c r="A263" s="138"/>
      <c r="B263" s="138"/>
      <c r="C263" s="134"/>
      <c r="D263" s="134"/>
      <c r="E263" s="134"/>
      <c r="F263" s="134"/>
      <c r="G263" s="134"/>
      <c r="H263" s="134"/>
      <c r="I263" s="134"/>
    </row>
    <row r="264" spans="1:9" ht="12.75" customHeight="1" x14ac:dyDescent="0.45">
      <c r="A264" s="138"/>
      <c r="B264" s="138"/>
      <c r="C264" s="134"/>
      <c r="D264" s="134"/>
      <c r="E264" s="134"/>
      <c r="F264" s="134"/>
      <c r="G264" s="134"/>
      <c r="H264" s="134"/>
      <c r="I264" s="134"/>
    </row>
    <row r="265" spans="1:9" ht="12.75" customHeight="1" x14ac:dyDescent="0.45">
      <c r="A265" s="138"/>
      <c r="B265" s="138"/>
      <c r="C265" s="134"/>
      <c r="D265" s="134"/>
      <c r="E265" s="134"/>
      <c r="F265" s="134"/>
      <c r="G265" s="134"/>
      <c r="H265" s="134"/>
      <c r="I265" s="134"/>
    </row>
    <row r="266" spans="1:9" ht="12.75" customHeight="1" x14ac:dyDescent="0.45">
      <c r="A266" s="138"/>
      <c r="B266" s="138"/>
      <c r="C266" s="134"/>
      <c r="D266" s="134"/>
      <c r="E266" s="134"/>
      <c r="F266" s="134"/>
      <c r="G266" s="134"/>
      <c r="H266" s="134"/>
      <c r="I266" s="134"/>
    </row>
    <row r="267" spans="1:9" ht="12.75" customHeight="1" x14ac:dyDescent="0.45">
      <c r="A267" s="138"/>
      <c r="B267" s="138"/>
      <c r="C267" s="134"/>
      <c r="D267" s="134"/>
      <c r="E267" s="134"/>
      <c r="F267" s="134"/>
      <c r="G267" s="134"/>
      <c r="H267" s="134"/>
      <c r="I267" s="134"/>
    </row>
    <row r="268" spans="1:9" ht="12.75" customHeight="1" x14ac:dyDescent="0.45">
      <c r="A268" s="138"/>
      <c r="B268" s="138"/>
      <c r="C268" s="134"/>
      <c r="D268" s="134"/>
      <c r="E268" s="134"/>
      <c r="F268" s="134"/>
      <c r="G268" s="134"/>
      <c r="H268" s="134"/>
      <c r="I268" s="134"/>
    </row>
    <row r="269" spans="1:9" ht="12.75" customHeight="1" x14ac:dyDescent="0.45">
      <c r="A269" s="138"/>
      <c r="B269" s="138"/>
      <c r="C269" s="134"/>
      <c r="D269" s="134"/>
      <c r="E269" s="134"/>
      <c r="F269" s="134"/>
      <c r="G269" s="134"/>
      <c r="H269" s="134"/>
      <c r="I269" s="134"/>
    </row>
    <row r="270" spans="1:9" ht="12.75" customHeight="1" x14ac:dyDescent="0.45">
      <c r="A270" s="138"/>
      <c r="B270" s="138"/>
      <c r="C270" s="134"/>
      <c r="D270" s="134"/>
      <c r="E270" s="134"/>
      <c r="F270" s="134"/>
      <c r="G270" s="134"/>
      <c r="H270" s="134"/>
      <c r="I270" s="134"/>
    </row>
    <row r="271" spans="1:9" ht="12.75" customHeight="1" x14ac:dyDescent="0.45">
      <c r="A271" s="138"/>
      <c r="B271" s="138"/>
      <c r="C271" s="134"/>
      <c r="D271" s="134"/>
      <c r="E271" s="134"/>
      <c r="F271" s="134"/>
      <c r="G271" s="134"/>
      <c r="H271" s="134"/>
      <c r="I271" s="134"/>
    </row>
    <row r="272" spans="1:9" ht="12.75" customHeight="1" x14ac:dyDescent="0.45">
      <c r="A272" s="138"/>
      <c r="B272" s="138"/>
      <c r="C272" s="134"/>
      <c r="D272" s="134"/>
      <c r="E272" s="134"/>
      <c r="F272" s="134"/>
      <c r="G272" s="134"/>
      <c r="H272" s="134"/>
      <c r="I272" s="134"/>
    </row>
    <row r="273" spans="1:9" ht="12.75" customHeight="1" x14ac:dyDescent="0.45">
      <c r="A273" s="138"/>
      <c r="B273" s="138"/>
      <c r="C273" s="134"/>
      <c r="D273" s="134"/>
      <c r="E273" s="134"/>
      <c r="F273" s="134"/>
      <c r="G273" s="134"/>
      <c r="H273" s="134"/>
      <c r="I273" s="134"/>
    </row>
    <row r="274" spans="1:9" ht="12.75" customHeight="1" x14ac:dyDescent="0.45">
      <c r="A274" s="138"/>
      <c r="B274" s="138"/>
      <c r="C274" s="134"/>
      <c r="D274" s="134"/>
      <c r="E274" s="134"/>
      <c r="F274" s="134"/>
      <c r="G274" s="134"/>
      <c r="H274" s="134"/>
      <c r="I274" s="134"/>
    </row>
    <row r="275" spans="1:9" ht="12.75" customHeight="1" x14ac:dyDescent="0.45">
      <c r="A275" s="138"/>
      <c r="B275" s="138"/>
      <c r="C275" s="134"/>
      <c r="D275" s="134"/>
      <c r="E275" s="134"/>
      <c r="F275" s="134"/>
      <c r="G275" s="134"/>
      <c r="H275" s="134"/>
      <c r="I275" s="134"/>
    </row>
    <row r="276" spans="1:9" ht="12.75" customHeight="1" x14ac:dyDescent="0.45">
      <c r="A276" s="138"/>
      <c r="B276" s="138"/>
      <c r="C276" s="134"/>
      <c r="D276" s="134"/>
      <c r="E276" s="134"/>
      <c r="F276" s="134"/>
      <c r="G276" s="134"/>
      <c r="H276" s="134"/>
      <c r="I276" s="134"/>
    </row>
    <row r="277" spans="1:9" ht="12.75" customHeight="1" x14ac:dyDescent="0.45">
      <c r="A277" s="138"/>
      <c r="B277" s="138"/>
      <c r="C277" s="134"/>
      <c r="D277" s="134"/>
      <c r="E277" s="134"/>
      <c r="F277" s="134"/>
      <c r="G277" s="134"/>
      <c r="H277" s="134"/>
      <c r="I277" s="134"/>
    </row>
    <row r="278" spans="1:9" ht="12.75" customHeight="1" x14ac:dyDescent="0.45">
      <c r="A278" s="138"/>
      <c r="B278" s="138"/>
      <c r="C278" s="134"/>
      <c r="D278" s="134"/>
      <c r="E278" s="134"/>
      <c r="F278" s="134"/>
      <c r="G278" s="134"/>
      <c r="H278" s="134"/>
      <c r="I278" s="134"/>
    </row>
    <row r="279" spans="1:9" ht="12.75" customHeight="1" x14ac:dyDescent="0.45">
      <c r="A279" s="138"/>
      <c r="B279" s="138"/>
      <c r="C279" s="134"/>
      <c r="D279" s="134"/>
      <c r="E279" s="134"/>
      <c r="F279" s="134"/>
      <c r="G279" s="134"/>
      <c r="H279" s="134"/>
      <c r="I279" s="134"/>
    </row>
    <row r="280" spans="1:9" ht="12.75" customHeight="1" x14ac:dyDescent="0.45">
      <c r="A280" s="138"/>
      <c r="B280" s="138"/>
      <c r="C280" s="134"/>
      <c r="D280" s="134"/>
      <c r="E280" s="134"/>
      <c r="F280" s="134"/>
      <c r="G280" s="134"/>
      <c r="H280" s="134"/>
      <c r="I280" s="134"/>
    </row>
    <row r="281" spans="1:9" ht="12.75" customHeight="1" x14ac:dyDescent="0.45">
      <c r="A281" s="138"/>
      <c r="B281" s="138"/>
      <c r="C281" s="134"/>
      <c r="D281" s="134"/>
      <c r="E281" s="134"/>
      <c r="F281" s="134"/>
      <c r="G281" s="134"/>
      <c r="H281" s="134"/>
      <c r="I281" s="134"/>
    </row>
    <row r="282" spans="1:9" ht="12.75" customHeight="1" x14ac:dyDescent="0.45">
      <c r="A282" s="138"/>
      <c r="B282" s="138"/>
      <c r="C282" s="134"/>
      <c r="D282" s="134"/>
      <c r="E282" s="134"/>
      <c r="F282" s="134"/>
      <c r="G282" s="134"/>
      <c r="H282" s="134"/>
      <c r="I282" s="134"/>
    </row>
    <row r="283" spans="1:9" ht="12.75" customHeight="1" x14ac:dyDescent="0.45">
      <c r="A283" s="138"/>
      <c r="B283" s="138"/>
      <c r="C283" s="134"/>
      <c r="D283" s="134"/>
      <c r="E283" s="134"/>
      <c r="F283" s="134"/>
      <c r="G283" s="134"/>
      <c r="H283" s="134"/>
      <c r="I283" s="134"/>
    </row>
    <row r="284" spans="1:9" ht="12.75" customHeight="1" x14ac:dyDescent="0.45">
      <c r="A284" s="138"/>
      <c r="B284" s="138"/>
      <c r="C284" s="134"/>
      <c r="D284" s="134"/>
      <c r="E284" s="134"/>
      <c r="F284" s="134"/>
      <c r="G284" s="134"/>
      <c r="H284" s="134"/>
      <c r="I284" s="134"/>
    </row>
    <row r="285" spans="1:9" ht="12.75" customHeight="1" x14ac:dyDescent="0.45">
      <c r="A285" s="138"/>
      <c r="B285" s="138"/>
      <c r="C285" s="134"/>
      <c r="D285" s="134"/>
      <c r="E285" s="134"/>
      <c r="F285" s="134"/>
      <c r="G285" s="134"/>
      <c r="H285" s="134"/>
      <c r="I285" s="134"/>
    </row>
    <row r="286" spans="1:9" ht="12.75" customHeight="1" x14ac:dyDescent="0.45">
      <c r="A286" s="138"/>
      <c r="B286" s="138"/>
      <c r="C286" s="134"/>
      <c r="D286" s="134"/>
      <c r="E286" s="134"/>
      <c r="F286" s="134"/>
      <c r="G286" s="134"/>
      <c r="H286" s="134"/>
      <c r="I286" s="134"/>
    </row>
    <row r="287" spans="1:9" ht="12.75" customHeight="1" x14ac:dyDescent="0.45">
      <c r="A287" s="138"/>
      <c r="B287" s="138"/>
      <c r="C287" s="134"/>
      <c r="D287" s="134"/>
      <c r="E287" s="134"/>
      <c r="F287" s="134"/>
      <c r="G287" s="134"/>
      <c r="H287" s="134"/>
      <c r="I287" s="134"/>
    </row>
    <row r="288" spans="1:9" ht="12.75" customHeight="1" x14ac:dyDescent="0.45">
      <c r="A288" s="138"/>
      <c r="B288" s="138"/>
      <c r="C288" s="134"/>
      <c r="D288" s="134"/>
      <c r="E288" s="134"/>
      <c r="F288" s="134"/>
      <c r="G288" s="134"/>
      <c r="H288" s="134"/>
      <c r="I288" s="134"/>
    </row>
    <row r="289" spans="1:9" ht="12.75" customHeight="1" x14ac:dyDescent="0.45">
      <c r="A289" s="138"/>
      <c r="B289" s="138"/>
      <c r="C289" s="134"/>
      <c r="D289" s="134"/>
      <c r="E289" s="134"/>
      <c r="F289" s="134"/>
      <c r="G289" s="134"/>
      <c r="H289" s="134"/>
      <c r="I289" s="134"/>
    </row>
    <row r="290" spans="1:9" ht="12.75" customHeight="1" x14ac:dyDescent="0.45">
      <c r="A290" s="138"/>
      <c r="B290" s="138"/>
      <c r="C290" s="134"/>
      <c r="D290" s="134"/>
      <c r="E290" s="134"/>
      <c r="F290" s="134"/>
      <c r="G290" s="134"/>
      <c r="H290" s="134"/>
      <c r="I290" s="134"/>
    </row>
    <row r="291" spans="1:9" ht="12.75" customHeight="1" x14ac:dyDescent="0.45">
      <c r="A291" s="138"/>
      <c r="B291" s="138"/>
      <c r="C291" s="134"/>
      <c r="D291" s="134"/>
      <c r="E291" s="134"/>
      <c r="F291" s="134"/>
      <c r="G291" s="134"/>
      <c r="H291" s="134"/>
      <c r="I291" s="134"/>
    </row>
    <row r="292" spans="1:9" ht="12.75" customHeight="1" x14ac:dyDescent="0.45">
      <c r="A292" s="138"/>
      <c r="B292" s="138"/>
      <c r="C292" s="134"/>
      <c r="D292" s="134"/>
      <c r="E292" s="134"/>
      <c r="F292" s="134"/>
      <c r="G292" s="134"/>
      <c r="H292" s="134"/>
      <c r="I292" s="134"/>
    </row>
    <row r="293" spans="1:9" ht="12.75" customHeight="1" x14ac:dyDescent="0.45">
      <c r="A293" s="138"/>
      <c r="B293" s="138"/>
      <c r="C293" s="134"/>
      <c r="D293" s="134"/>
      <c r="E293" s="134"/>
      <c r="F293" s="134"/>
      <c r="G293" s="134"/>
      <c r="H293" s="134"/>
      <c r="I293" s="134"/>
    </row>
    <row r="294" spans="1:9" ht="12.75" customHeight="1" x14ac:dyDescent="0.45">
      <c r="A294" s="138"/>
      <c r="B294" s="138"/>
      <c r="C294" s="134"/>
      <c r="D294" s="134"/>
      <c r="E294" s="134"/>
      <c r="F294" s="134"/>
      <c r="G294" s="134"/>
      <c r="H294" s="134"/>
      <c r="I294" s="134"/>
    </row>
    <row r="295" spans="1:9" ht="12.75" customHeight="1" x14ac:dyDescent="0.45">
      <c r="A295" s="138"/>
      <c r="B295" s="138"/>
      <c r="C295" s="134"/>
      <c r="D295" s="134"/>
      <c r="E295" s="134"/>
      <c r="F295" s="134"/>
      <c r="G295" s="134"/>
      <c r="H295" s="134"/>
      <c r="I295" s="134"/>
    </row>
    <row r="296" spans="1:9" ht="12.75" customHeight="1" x14ac:dyDescent="0.45">
      <c r="A296" s="138"/>
      <c r="B296" s="138"/>
      <c r="C296" s="134"/>
      <c r="D296" s="134"/>
      <c r="E296" s="134"/>
      <c r="F296" s="134"/>
      <c r="G296" s="134"/>
      <c r="H296" s="134"/>
      <c r="I296" s="134"/>
    </row>
    <row r="297" spans="1:9" ht="12.75" customHeight="1" x14ac:dyDescent="0.45">
      <c r="A297" s="138"/>
      <c r="B297" s="138"/>
      <c r="C297" s="134"/>
      <c r="D297" s="134"/>
      <c r="E297" s="134"/>
      <c r="F297" s="134"/>
      <c r="G297" s="134"/>
      <c r="H297" s="134"/>
      <c r="I297" s="134"/>
    </row>
    <row r="298" spans="1:9" ht="12.75" customHeight="1" x14ac:dyDescent="0.45">
      <c r="A298" s="138"/>
      <c r="B298" s="138"/>
      <c r="C298" s="134"/>
      <c r="D298" s="134"/>
      <c r="E298" s="134"/>
      <c r="F298" s="134"/>
      <c r="G298" s="134"/>
      <c r="H298" s="134"/>
      <c r="I298" s="134"/>
    </row>
    <row r="299" spans="1:9" ht="12.75" customHeight="1" x14ac:dyDescent="0.45">
      <c r="A299" s="138"/>
      <c r="B299" s="138"/>
      <c r="C299" s="134"/>
      <c r="D299" s="134"/>
      <c r="E299" s="134"/>
      <c r="F299" s="134"/>
      <c r="G299" s="134"/>
      <c r="H299" s="134"/>
      <c r="I299" s="134"/>
    </row>
    <row r="300" spans="1:9" ht="12.75" customHeight="1" x14ac:dyDescent="0.45">
      <c r="A300" s="138"/>
      <c r="B300" s="138"/>
      <c r="C300" s="134"/>
      <c r="D300" s="134"/>
      <c r="E300" s="134"/>
      <c r="F300" s="134"/>
      <c r="G300" s="134"/>
      <c r="H300" s="134"/>
      <c r="I300" s="134"/>
    </row>
    <row r="301" spans="1:9" ht="12.75" customHeight="1" x14ac:dyDescent="0.45">
      <c r="A301" s="138"/>
      <c r="B301" s="138"/>
      <c r="C301" s="134"/>
      <c r="D301" s="134"/>
      <c r="E301" s="134"/>
      <c r="F301" s="134"/>
      <c r="G301" s="134"/>
      <c r="H301" s="134"/>
      <c r="I301" s="134"/>
    </row>
    <row r="302" spans="1:9" ht="12.75" customHeight="1" x14ac:dyDescent="0.45">
      <c r="A302" s="138"/>
      <c r="B302" s="138"/>
      <c r="C302" s="134"/>
      <c r="D302" s="134"/>
      <c r="E302" s="134"/>
      <c r="F302" s="134"/>
      <c r="G302" s="134"/>
      <c r="H302" s="134"/>
      <c r="I302" s="134"/>
    </row>
    <row r="303" spans="1:9" ht="12.75" customHeight="1" x14ac:dyDescent="0.45">
      <c r="A303" s="138"/>
      <c r="B303" s="138"/>
      <c r="C303" s="134"/>
      <c r="D303" s="134"/>
      <c r="E303" s="134"/>
      <c r="F303" s="134"/>
      <c r="G303" s="134"/>
      <c r="H303" s="134"/>
      <c r="I303" s="134"/>
    </row>
    <row r="304" spans="1:9" ht="12.75" customHeight="1" x14ac:dyDescent="0.45">
      <c r="A304" s="138"/>
      <c r="B304" s="138"/>
      <c r="C304" s="134"/>
      <c r="D304" s="134"/>
      <c r="E304" s="134"/>
      <c r="F304" s="134"/>
      <c r="G304" s="134"/>
      <c r="H304" s="134"/>
      <c r="I304" s="134"/>
    </row>
    <row r="305" spans="1:9" ht="12.75" customHeight="1" x14ac:dyDescent="0.45">
      <c r="A305" s="138"/>
      <c r="B305" s="138"/>
      <c r="C305" s="134"/>
      <c r="D305" s="134"/>
      <c r="E305" s="134"/>
      <c r="F305" s="134"/>
      <c r="G305" s="134"/>
      <c r="H305" s="134"/>
      <c r="I305" s="134"/>
    </row>
    <row r="306" spans="1:9" ht="12.75" customHeight="1" x14ac:dyDescent="0.45">
      <c r="A306" s="138"/>
      <c r="B306" s="138"/>
      <c r="C306" s="134"/>
      <c r="D306" s="134"/>
      <c r="E306" s="134"/>
      <c r="F306" s="134"/>
      <c r="G306" s="134"/>
      <c r="H306" s="134"/>
      <c r="I306" s="134"/>
    </row>
    <row r="307" spans="1:9" ht="12.75" customHeight="1" x14ac:dyDescent="0.45">
      <c r="A307" s="138"/>
      <c r="B307" s="138"/>
      <c r="C307" s="134"/>
      <c r="D307" s="134"/>
      <c r="E307" s="134"/>
      <c r="F307" s="134"/>
      <c r="G307" s="134"/>
      <c r="H307" s="134"/>
      <c r="I307" s="134"/>
    </row>
    <row r="308" spans="1:9" ht="12.75" customHeight="1" x14ac:dyDescent="0.45">
      <c r="A308" s="138"/>
      <c r="B308" s="138"/>
      <c r="C308" s="134"/>
      <c r="D308" s="134"/>
      <c r="E308" s="134"/>
      <c r="F308" s="134"/>
      <c r="G308" s="134"/>
      <c r="H308" s="134"/>
      <c r="I308" s="134"/>
    </row>
    <row r="309" spans="1:9" ht="12.75" customHeight="1" x14ac:dyDescent="0.45">
      <c r="A309" s="138"/>
      <c r="B309" s="138"/>
      <c r="C309" s="134"/>
      <c r="D309" s="134"/>
      <c r="E309" s="134"/>
      <c r="F309" s="134"/>
      <c r="G309" s="134"/>
      <c r="H309" s="134"/>
      <c r="I309" s="134"/>
    </row>
    <row r="310" spans="1:9" ht="12.75" customHeight="1" x14ac:dyDescent="0.45">
      <c r="A310" s="138"/>
      <c r="B310" s="138"/>
      <c r="C310" s="134"/>
      <c r="D310" s="134"/>
      <c r="E310" s="134"/>
      <c r="F310" s="134"/>
      <c r="G310" s="134"/>
      <c r="H310" s="134"/>
      <c r="I310" s="134"/>
    </row>
    <row r="311" spans="1:9" ht="12.75" customHeight="1" x14ac:dyDescent="0.45">
      <c r="A311" s="138"/>
      <c r="B311" s="138"/>
      <c r="C311" s="134"/>
      <c r="D311" s="134"/>
      <c r="E311" s="134"/>
      <c r="F311" s="134"/>
      <c r="G311" s="134"/>
      <c r="H311" s="134"/>
      <c r="I311" s="134"/>
    </row>
    <row r="312" spans="1:9" ht="12.75" customHeight="1" x14ac:dyDescent="0.45">
      <c r="A312" s="138"/>
      <c r="B312" s="138"/>
      <c r="C312" s="134"/>
      <c r="D312" s="134"/>
      <c r="E312" s="134"/>
      <c r="F312" s="134"/>
      <c r="G312" s="134"/>
      <c r="H312" s="134"/>
      <c r="I312" s="134"/>
    </row>
    <row r="313" spans="1:9" ht="12.75" customHeight="1" x14ac:dyDescent="0.45">
      <c r="A313" s="138"/>
      <c r="B313" s="138"/>
      <c r="C313" s="134"/>
      <c r="D313" s="134"/>
      <c r="E313" s="134"/>
      <c r="F313" s="134"/>
      <c r="G313" s="134"/>
      <c r="H313" s="134"/>
      <c r="I313" s="134"/>
    </row>
    <row r="314" spans="1:9" ht="12.75" customHeight="1" x14ac:dyDescent="0.45">
      <c r="A314" s="138"/>
      <c r="B314" s="138"/>
      <c r="C314" s="134"/>
      <c r="D314" s="134"/>
      <c r="E314" s="134"/>
      <c r="F314" s="134"/>
      <c r="G314" s="134"/>
      <c r="H314" s="134"/>
      <c r="I314" s="134"/>
    </row>
    <row r="315" spans="1:9" ht="12.75" customHeight="1" x14ac:dyDescent="0.45">
      <c r="A315" s="138"/>
      <c r="B315" s="138"/>
      <c r="C315" s="134"/>
      <c r="D315" s="134"/>
      <c r="E315" s="134"/>
      <c r="F315" s="134"/>
      <c r="G315" s="134"/>
      <c r="H315" s="134"/>
      <c r="I315" s="134"/>
    </row>
    <row r="316" spans="1:9" ht="12.75" customHeight="1" x14ac:dyDescent="0.45">
      <c r="A316" s="138"/>
      <c r="B316" s="138"/>
      <c r="C316" s="134"/>
      <c r="D316" s="134"/>
      <c r="E316" s="134"/>
      <c r="F316" s="134"/>
      <c r="G316" s="134"/>
      <c r="H316" s="134"/>
      <c r="I316" s="134"/>
    </row>
    <row r="317" spans="1:9" ht="12.75" customHeight="1" x14ac:dyDescent="0.45">
      <c r="A317" s="138"/>
      <c r="B317" s="138"/>
      <c r="C317" s="134"/>
      <c r="D317" s="134"/>
      <c r="E317" s="134"/>
      <c r="F317" s="134"/>
      <c r="G317" s="134"/>
      <c r="H317" s="134"/>
      <c r="I317" s="134"/>
    </row>
    <row r="318" spans="1:9" ht="12.75" customHeight="1" x14ac:dyDescent="0.45">
      <c r="A318" s="138"/>
      <c r="B318" s="138"/>
      <c r="C318" s="134"/>
      <c r="D318" s="134"/>
      <c r="E318" s="134"/>
      <c r="F318" s="134"/>
      <c r="G318" s="134"/>
      <c r="H318" s="134"/>
      <c r="I318" s="134"/>
    </row>
    <row r="319" spans="1:9" ht="12.75" customHeight="1" x14ac:dyDescent="0.45">
      <c r="A319" s="138"/>
      <c r="B319" s="138"/>
      <c r="C319" s="134"/>
      <c r="D319" s="134"/>
      <c r="E319" s="134"/>
      <c r="F319" s="134"/>
      <c r="G319" s="134"/>
      <c r="H319" s="134"/>
      <c r="I319" s="134"/>
    </row>
    <row r="320" spans="1:9" ht="12.75" customHeight="1" x14ac:dyDescent="0.45">
      <c r="A320" s="138"/>
      <c r="B320" s="138"/>
      <c r="C320" s="134"/>
      <c r="D320" s="134"/>
      <c r="E320" s="134"/>
      <c r="F320" s="134"/>
      <c r="G320" s="134"/>
      <c r="H320" s="134"/>
      <c r="I320" s="134"/>
    </row>
    <row r="321" spans="1:9" ht="12.75" customHeight="1" x14ac:dyDescent="0.45">
      <c r="A321" s="138"/>
      <c r="B321" s="138"/>
      <c r="C321" s="134"/>
      <c r="D321" s="134"/>
      <c r="E321" s="134"/>
      <c r="F321" s="134"/>
      <c r="G321" s="134"/>
      <c r="H321" s="134"/>
      <c r="I321" s="134"/>
    </row>
    <row r="322" spans="1:9" ht="12.75" customHeight="1" x14ac:dyDescent="0.45">
      <c r="A322" s="138"/>
      <c r="B322" s="138"/>
      <c r="C322" s="134"/>
      <c r="D322" s="134"/>
      <c r="E322" s="134"/>
      <c r="F322" s="134"/>
      <c r="G322" s="134"/>
      <c r="H322" s="134"/>
      <c r="I322" s="134"/>
    </row>
    <row r="323" spans="1:9" ht="12.75" customHeight="1" x14ac:dyDescent="0.45">
      <c r="A323" s="138"/>
      <c r="B323" s="138"/>
      <c r="C323" s="134"/>
      <c r="D323" s="134"/>
      <c r="E323" s="134"/>
      <c r="F323" s="134"/>
      <c r="G323" s="134"/>
      <c r="H323" s="134"/>
      <c r="I323" s="134"/>
    </row>
    <row r="324" spans="1:9" ht="12.75" customHeight="1" x14ac:dyDescent="0.45">
      <c r="A324" s="138"/>
      <c r="B324" s="138"/>
      <c r="C324" s="134"/>
      <c r="D324" s="134"/>
      <c r="E324" s="134"/>
      <c r="F324" s="134"/>
      <c r="G324" s="134"/>
      <c r="H324" s="134"/>
      <c r="I324" s="134"/>
    </row>
    <row r="325" spans="1:9" ht="12.75" customHeight="1" x14ac:dyDescent="0.45">
      <c r="A325" s="138"/>
      <c r="B325" s="138"/>
      <c r="C325" s="134"/>
      <c r="D325" s="134"/>
      <c r="E325" s="134"/>
      <c r="F325" s="134"/>
      <c r="G325" s="134"/>
      <c r="H325" s="134"/>
      <c r="I325" s="134"/>
    </row>
    <row r="326" spans="1:9" ht="12.75" customHeight="1" x14ac:dyDescent="0.45">
      <c r="A326" s="138"/>
      <c r="B326" s="138"/>
      <c r="C326" s="134"/>
      <c r="D326" s="134"/>
      <c r="E326" s="134"/>
      <c r="F326" s="134"/>
      <c r="G326" s="134"/>
      <c r="H326" s="134"/>
      <c r="I326" s="134"/>
    </row>
    <row r="327" spans="1:9" ht="12.75" customHeight="1" x14ac:dyDescent="0.45">
      <c r="A327" s="138"/>
      <c r="B327" s="138"/>
      <c r="C327" s="134"/>
      <c r="D327" s="134"/>
      <c r="E327" s="134"/>
      <c r="F327" s="134"/>
      <c r="G327" s="134"/>
      <c r="H327" s="134"/>
      <c r="I327" s="134"/>
    </row>
    <row r="328" spans="1:9" ht="12.75" customHeight="1" x14ac:dyDescent="0.45">
      <c r="A328" s="138"/>
      <c r="B328" s="138"/>
      <c r="C328" s="134"/>
      <c r="D328" s="134"/>
      <c r="E328" s="134"/>
      <c r="F328" s="134"/>
      <c r="G328" s="134"/>
      <c r="H328" s="134"/>
      <c r="I328" s="134"/>
    </row>
    <row r="329" spans="1:9" ht="12.75" customHeight="1" x14ac:dyDescent="0.45">
      <c r="A329" s="138"/>
      <c r="B329" s="138"/>
      <c r="C329" s="134"/>
      <c r="D329" s="134"/>
      <c r="E329" s="134"/>
      <c r="F329" s="134"/>
      <c r="G329" s="134"/>
      <c r="H329" s="134"/>
      <c r="I329" s="134"/>
    </row>
    <row r="330" spans="1:9" ht="12.75" customHeight="1" x14ac:dyDescent="0.45">
      <c r="A330" s="138"/>
      <c r="B330" s="138"/>
      <c r="C330" s="134"/>
      <c r="D330" s="134"/>
      <c r="E330" s="134"/>
      <c r="F330" s="134"/>
      <c r="G330" s="134"/>
      <c r="H330" s="134"/>
      <c r="I330" s="134"/>
    </row>
    <row r="331" spans="1:9" ht="12.75" customHeight="1" x14ac:dyDescent="0.45">
      <c r="A331" s="138"/>
      <c r="B331" s="138"/>
      <c r="C331" s="134"/>
      <c r="D331" s="134"/>
      <c r="E331" s="134"/>
      <c r="F331" s="134"/>
      <c r="G331" s="134"/>
      <c r="H331" s="134"/>
      <c r="I331" s="134"/>
    </row>
    <row r="332" spans="1:9" ht="12.75" customHeight="1" x14ac:dyDescent="0.45">
      <c r="A332" s="138"/>
      <c r="B332" s="138"/>
      <c r="C332" s="134"/>
      <c r="D332" s="134"/>
      <c r="E332" s="134"/>
      <c r="F332" s="134"/>
      <c r="G332" s="134"/>
      <c r="H332" s="134"/>
      <c r="I332" s="134"/>
    </row>
    <row r="333" spans="1:9" ht="12.75" customHeight="1" x14ac:dyDescent="0.45">
      <c r="A333" s="138"/>
      <c r="B333" s="138"/>
      <c r="C333" s="134"/>
      <c r="D333" s="134"/>
      <c r="E333" s="134"/>
      <c r="F333" s="134"/>
      <c r="G333" s="134"/>
      <c r="H333" s="134"/>
      <c r="I333" s="134"/>
    </row>
    <row r="334" spans="1:9" ht="12.75" customHeight="1" x14ac:dyDescent="0.45">
      <c r="A334" s="138"/>
      <c r="B334" s="138"/>
      <c r="C334" s="134"/>
      <c r="D334" s="134"/>
      <c r="E334" s="134"/>
      <c r="F334" s="134"/>
      <c r="G334" s="134"/>
      <c r="H334" s="134"/>
      <c r="I334" s="134"/>
    </row>
    <row r="335" spans="1:9" ht="12.75" customHeight="1" x14ac:dyDescent="0.45">
      <c r="A335" s="138"/>
      <c r="B335" s="138"/>
      <c r="C335" s="134"/>
      <c r="D335" s="134"/>
      <c r="E335" s="134"/>
      <c r="F335" s="134"/>
      <c r="G335" s="134"/>
      <c r="H335" s="134"/>
      <c r="I335" s="134"/>
    </row>
    <row r="336" spans="1:9" ht="12.75" customHeight="1" x14ac:dyDescent="0.45">
      <c r="A336" s="138"/>
      <c r="B336" s="138"/>
      <c r="C336" s="134"/>
      <c r="D336" s="134"/>
      <c r="E336" s="134"/>
      <c r="F336" s="134"/>
      <c r="G336" s="134"/>
      <c r="H336" s="134"/>
      <c r="I336" s="134"/>
    </row>
    <row r="337" spans="1:9" ht="12.75" customHeight="1" x14ac:dyDescent="0.45">
      <c r="A337" s="138"/>
      <c r="B337" s="138"/>
      <c r="C337" s="134"/>
      <c r="D337" s="134"/>
      <c r="E337" s="134"/>
      <c r="F337" s="134"/>
      <c r="G337" s="134"/>
      <c r="H337" s="134"/>
      <c r="I337" s="134"/>
    </row>
    <row r="338" spans="1:9" ht="12.75" customHeight="1" x14ac:dyDescent="0.45">
      <c r="A338" s="138"/>
      <c r="B338" s="138"/>
      <c r="C338" s="134"/>
      <c r="D338" s="134"/>
      <c r="E338" s="134"/>
      <c r="F338" s="134"/>
      <c r="G338" s="134"/>
      <c r="H338" s="134"/>
      <c r="I338" s="134"/>
    </row>
    <row r="339" spans="1:9" ht="12.75" customHeight="1" x14ac:dyDescent="0.45">
      <c r="A339" s="138"/>
      <c r="B339" s="138"/>
      <c r="C339" s="134"/>
      <c r="D339" s="134"/>
      <c r="E339" s="134"/>
      <c r="F339" s="134"/>
      <c r="G339" s="134"/>
      <c r="H339" s="134"/>
      <c r="I339" s="134"/>
    </row>
    <row r="340" spans="1:9" ht="12.75" customHeight="1" x14ac:dyDescent="0.45">
      <c r="A340" s="138"/>
      <c r="B340" s="138"/>
      <c r="C340" s="134"/>
      <c r="D340" s="134"/>
      <c r="E340" s="134"/>
      <c r="F340" s="134"/>
      <c r="G340" s="134"/>
      <c r="H340" s="134"/>
      <c r="I340" s="134"/>
    </row>
    <row r="341" spans="1:9" ht="12.75" customHeight="1" x14ac:dyDescent="0.45">
      <c r="A341" s="138"/>
      <c r="B341" s="138"/>
      <c r="C341" s="134"/>
      <c r="D341" s="134"/>
      <c r="E341" s="134"/>
      <c r="F341" s="134"/>
      <c r="G341" s="134"/>
      <c r="H341" s="134"/>
      <c r="I341" s="134"/>
    </row>
    <row r="342" spans="1:9" ht="12.75" customHeight="1" x14ac:dyDescent="0.45">
      <c r="A342" s="138"/>
      <c r="B342" s="138"/>
      <c r="C342" s="134"/>
      <c r="D342" s="134"/>
      <c r="E342" s="134"/>
      <c r="F342" s="134"/>
      <c r="G342" s="134"/>
      <c r="H342" s="134"/>
      <c r="I342" s="134"/>
    </row>
    <row r="343" spans="1:9" ht="12.75" customHeight="1" x14ac:dyDescent="0.45">
      <c r="A343" s="138"/>
      <c r="B343" s="138"/>
      <c r="C343" s="134"/>
      <c r="D343" s="134"/>
      <c r="E343" s="134"/>
      <c r="F343" s="134"/>
      <c r="G343" s="134"/>
      <c r="H343" s="134"/>
      <c r="I343" s="134"/>
    </row>
    <row r="344" spans="1:9" ht="12.75" customHeight="1" x14ac:dyDescent="0.45">
      <c r="A344" s="138"/>
      <c r="B344" s="138"/>
      <c r="C344" s="134"/>
      <c r="D344" s="134"/>
      <c r="E344" s="134"/>
      <c r="F344" s="134"/>
      <c r="G344" s="134"/>
      <c r="H344" s="134"/>
      <c r="I344" s="134"/>
    </row>
    <row r="345" spans="1:9" ht="12.75" customHeight="1" x14ac:dyDescent="0.45">
      <c r="A345" s="138"/>
      <c r="B345" s="138"/>
      <c r="C345" s="134"/>
      <c r="D345" s="134"/>
      <c r="E345" s="134"/>
      <c r="F345" s="134"/>
      <c r="G345" s="134"/>
      <c r="H345" s="134"/>
      <c r="I345" s="134"/>
    </row>
    <row r="346" spans="1:9" ht="12.75" customHeight="1" x14ac:dyDescent="0.45">
      <c r="A346" s="138"/>
      <c r="B346" s="138"/>
      <c r="C346" s="134"/>
      <c r="D346" s="134"/>
      <c r="E346" s="134"/>
      <c r="F346" s="134"/>
      <c r="G346" s="134"/>
      <c r="H346" s="134"/>
      <c r="I346" s="134"/>
    </row>
    <row r="347" spans="1:9" ht="12.75" customHeight="1" x14ac:dyDescent="0.45">
      <c r="A347" s="138"/>
      <c r="B347" s="138"/>
      <c r="C347" s="134"/>
      <c r="D347" s="134"/>
      <c r="E347" s="134"/>
      <c r="F347" s="134"/>
      <c r="G347" s="134"/>
      <c r="H347" s="134"/>
      <c r="I347" s="134"/>
    </row>
    <row r="348" spans="1:9" ht="12.75" customHeight="1" x14ac:dyDescent="0.45">
      <c r="A348" s="138"/>
      <c r="B348" s="138"/>
      <c r="C348" s="134"/>
      <c r="D348" s="134"/>
      <c r="E348" s="134"/>
      <c r="F348" s="134"/>
      <c r="G348" s="134"/>
      <c r="H348" s="134"/>
      <c r="I348" s="134"/>
    </row>
    <row r="349" spans="1:9" ht="12.75" customHeight="1" x14ac:dyDescent="0.45">
      <c r="A349" s="138"/>
      <c r="B349" s="138"/>
      <c r="C349" s="134"/>
      <c r="D349" s="134"/>
      <c r="E349" s="134"/>
      <c r="F349" s="134"/>
      <c r="G349" s="134"/>
      <c r="H349" s="134"/>
      <c r="I349" s="134"/>
    </row>
    <row r="350" spans="1:9" ht="12.75" customHeight="1" x14ac:dyDescent="0.45">
      <c r="A350" s="138"/>
      <c r="B350" s="138"/>
      <c r="C350" s="134"/>
      <c r="D350" s="134"/>
      <c r="E350" s="134"/>
      <c r="F350" s="134"/>
      <c r="G350" s="134"/>
      <c r="H350" s="134"/>
      <c r="I350" s="134"/>
    </row>
    <row r="351" spans="1:9" ht="12.75" customHeight="1" x14ac:dyDescent="0.45">
      <c r="A351" s="138"/>
      <c r="B351" s="138"/>
      <c r="C351" s="134"/>
      <c r="D351" s="134"/>
      <c r="E351" s="134"/>
      <c r="F351" s="134"/>
      <c r="G351" s="134"/>
      <c r="H351" s="134"/>
      <c r="I351" s="134"/>
    </row>
    <row r="352" spans="1:9" ht="12.75" customHeight="1" x14ac:dyDescent="0.45">
      <c r="A352" s="138"/>
      <c r="B352" s="138"/>
      <c r="C352" s="134"/>
      <c r="D352" s="134"/>
      <c r="E352" s="134"/>
      <c r="F352" s="134"/>
      <c r="G352" s="134"/>
      <c r="H352" s="134"/>
      <c r="I352" s="134"/>
    </row>
    <row r="353" spans="1:9" ht="12.75" customHeight="1" x14ac:dyDescent="0.45">
      <c r="A353" s="138"/>
      <c r="B353" s="138"/>
      <c r="C353" s="134"/>
      <c r="D353" s="134"/>
      <c r="E353" s="134"/>
      <c r="F353" s="134"/>
      <c r="G353" s="134"/>
      <c r="H353" s="134"/>
      <c r="I353" s="134"/>
    </row>
    <row r="354" spans="1:9" ht="12.75" customHeight="1" x14ac:dyDescent="0.45">
      <c r="A354" s="138"/>
      <c r="B354" s="138"/>
      <c r="C354" s="134"/>
      <c r="D354" s="134"/>
      <c r="E354" s="134"/>
      <c r="F354" s="134"/>
      <c r="G354" s="134"/>
      <c r="H354" s="134"/>
      <c r="I354" s="134"/>
    </row>
    <row r="355" spans="1:9" ht="12.75" customHeight="1" x14ac:dyDescent="0.45">
      <c r="A355" s="138"/>
      <c r="B355" s="138"/>
      <c r="C355" s="134"/>
      <c r="D355" s="134"/>
      <c r="E355" s="134"/>
      <c r="F355" s="134"/>
      <c r="G355" s="134"/>
      <c r="H355" s="134"/>
      <c r="I355" s="134"/>
    </row>
    <row r="356" spans="1:9" ht="12.75" customHeight="1" x14ac:dyDescent="0.45">
      <c r="A356" s="138"/>
      <c r="B356" s="138"/>
      <c r="C356" s="134"/>
      <c r="D356" s="134"/>
      <c r="E356" s="134"/>
      <c r="F356" s="134"/>
      <c r="G356" s="134"/>
      <c r="H356" s="134"/>
      <c r="I356" s="134"/>
    </row>
    <row r="357" spans="1:9" ht="12.75" customHeight="1" x14ac:dyDescent="0.45">
      <c r="A357" s="138"/>
      <c r="B357" s="138"/>
      <c r="C357" s="134"/>
      <c r="D357" s="134"/>
      <c r="E357" s="134"/>
      <c r="F357" s="134"/>
      <c r="G357" s="134"/>
      <c r="H357" s="134"/>
      <c r="I357" s="134"/>
    </row>
    <row r="358" spans="1:9" ht="12.75" customHeight="1" x14ac:dyDescent="0.45">
      <c r="A358" s="138"/>
      <c r="B358" s="138"/>
      <c r="C358" s="134"/>
      <c r="D358" s="134"/>
      <c r="E358" s="134"/>
      <c r="F358" s="134"/>
      <c r="G358" s="134"/>
      <c r="H358" s="134"/>
      <c r="I358" s="134"/>
    </row>
    <row r="359" spans="1:9" ht="12.75" customHeight="1" x14ac:dyDescent="0.45">
      <c r="A359" s="138"/>
      <c r="B359" s="138"/>
      <c r="C359" s="134"/>
      <c r="D359" s="134"/>
      <c r="E359" s="134"/>
      <c r="F359" s="134"/>
      <c r="G359" s="134"/>
      <c r="H359" s="134"/>
      <c r="I359" s="134"/>
    </row>
    <row r="360" spans="1:9" ht="12.75" customHeight="1" x14ac:dyDescent="0.45">
      <c r="A360" s="138"/>
      <c r="B360" s="138"/>
      <c r="C360" s="134"/>
      <c r="D360" s="134"/>
      <c r="E360" s="134"/>
      <c r="F360" s="134"/>
      <c r="G360" s="134"/>
      <c r="H360" s="134"/>
      <c r="I360" s="134"/>
    </row>
    <row r="361" spans="1:9" ht="12.75" customHeight="1" x14ac:dyDescent="0.45">
      <c r="A361" s="138"/>
      <c r="B361" s="138"/>
      <c r="C361" s="134"/>
      <c r="D361" s="134"/>
      <c r="E361" s="134"/>
      <c r="F361" s="134"/>
      <c r="G361" s="134"/>
      <c r="H361" s="134"/>
      <c r="I361" s="134"/>
    </row>
    <row r="362" spans="1:9" ht="12.75" customHeight="1" x14ac:dyDescent="0.45">
      <c r="A362" s="138"/>
      <c r="B362" s="138"/>
      <c r="C362" s="134"/>
      <c r="D362" s="134"/>
      <c r="E362" s="134"/>
      <c r="F362" s="134"/>
      <c r="G362" s="134"/>
      <c r="H362" s="134"/>
      <c r="I362" s="134"/>
    </row>
    <row r="363" spans="1:9" ht="12.75" customHeight="1" x14ac:dyDescent="0.45">
      <c r="A363" s="138"/>
      <c r="B363" s="138"/>
      <c r="C363" s="134"/>
      <c r="D363" s="134"/>
      <c r="E363" s="134"/>
      <c r="F363" s="134"/>
      <c r="G363" s="134"/>
      <c r="H363" s="134"/>
      <c r="I363" s="134"/>
    </row>
    <row r="364" spans="1:9" ht="12.75" customHeight="1" x14ac:dyDescent="0.45">
      <c r="A364" s="138"/>
      <c r="B364" s="138"/>
      <c r="C364" s="134"/>
      <c r="D364" s="134"/>
      <c r="E364" s="134"/>
      <c r="F364" s="134"/>
      <c r="G364" s="134"/>
      <c r="H364" s="134"/>
      <c r="I364" s="134"/>
    </row>
    <row r="365" spans="1:9" ht="12.75" customHeight="1" x14ac:dyDescent="0.45">
      <c r="A365" s="138"/>
      <c r="B365" s="138"/>
      <c r="C365" s="134"/>
      <c r="D365" s="134"/>
      <c r="E365" s="134"/>
      <c r="F365" s="134"/>
      <c r="G365" s="134"/>
      <c r="H365" s="134"/>
      <c r="I365" s="134"/>
    </row>
    <row r="366" spans="1:9" ht="12.75" customHeight="1" x14ac:dyDescent="0.45">
      <c r="A366" s="138"/>
      <c r="B366" s="138"/>
      <c r="C366" s="134"/>
      <c r="D366" s="134"/>
      <c r="E366" s="134"/>
      <c r="F366" s="134"/>
      <c r="G366" s="134"/>
      <c r="H366" s="134"/>
      <c r="I366" s="134"/>
    </row>
    <row r="367" spans="1:9" ht="12.75" customHeight="1" x14ac:dyDescent="0.45">
      <c r="A367" s="138"/>
      <c r="B367" s="138"/>
      <c r="C367" s="134"/>
      <c r="D367" s="134"/>
      <c r="E367" s="134"/>
      <c r="F367" s="134"/>
      <c r="G367" s="134"/>
      <c r="H367" s="134"/>
      <c r="I367" s="134"/>
    </row>
    <row r="368" spans="1:9" ht="12.75" customHeight="1" x14ac:dyDescent="0.45">
      <c r="A368" s="138"/>
      <c r="B368" s="138"/>
      <c r="C368" s="134"/>
      <c r="D368" s="134"/>
      <c r="E368" s="134"/>
      <c r="F368" s="134"/>
      <c r="G368" s="134"/>
      <c r="H368" s="134"/>
      <c r="I368" s="134"/>
    </row>
    <row r="369" spans="1:9" ht="12.75" customHeight="1" x14ac:dyDescent="0.45">
      <c r="A369" s="138"/>
      <c r="B369" s="138"/>
      <c r="C369" s="134"/>
      <c r="D369" s="134"/>
      <c r="E369" s="134"/>
      <c r="F369" s="134"/>
      <c r="G369" s="134"/>
      <c r="H369" s="134"/>
      <c r="I369" s="134"/>
    </row>
    <row r="370" spans="1:9" ht="12.75" customHeight="1" x14ac:dyDescent="0.45">
      <c r="A370" s="138"/>
      <c r="B370" s="138"/>
      <c r="C370" s="134"/>
      <c r="D370" s="134"/>
      <c r="E370" s="134"/>
      <c r="F370" s="134"/>
      <c r="G370" s="134"/>
      <c r="H370" s="134"/>
      <c r="I370" s="134"/>
    </row>
    <row r="371" spans="1:9" ht="12.75" customHeight="1" x14ac:dyDescent="0.45">
      <c r="A371" s="138"/>
      <c r="B371" s="138"/>
      <c r="C371" s="134"/>
      <c r="D371" s="134"/>
      <c r="E371" s="134"/>
      <c r="F371" s="134"/>
      <c r="G371" s="134"/>
      <c r="H371" s="134"/>
      <c r="I371" s="134"/>
    </row>
    <row r="372" spans="1:9" ht="12.75" customHeight="1" x14ac:dyDescent="0.45">
      <c r="A372" s="138"/>
      <c r="B372" s="138"/>
      <c r="C372" s="134"/>
      <c r="D372" s="134"/>
      <c r="E372" s="134"/>
      <c r="F372" s="134"/>
      <c r="G372" s="134"/>
      <c r="H372" s="134"/>
      <c r="I372" s="134"/>
    </row>
    <row r="373" spans="1:9" ht="12.75" customHeight="1" x14ac:dyDescent="0.45">
      <c r="A373" s="138"/>
      <c r="B373" s="138"/>
      <c r="C373" s="134"/>
      <c r="D373" s="134"/>
      <c r="E373" s="134"/>
      <c r="F373" s="134"/>
      <c r="G373" s="134"/>
      <c r="H373" s="134"/>
      <c r="I373" s="134"/>
    </row>
    <row r="374" spans="1:9" ht="12.75" customHeight="1" x14ac:dyDescent="0.45">
      <c r="A374" s="138"/>
      <c r="B374" s="138"/>
      <c r="C374" s="134"/>
      <c r="D374" s="134"/>
      <c r="E374" s="134"/>
      <c r="F374" s="134"/>
      <c r="G374" s="134"/>
      <c r="H374" s="134"/>
      <c r="I374" s="134"/>
    </row>
    <row r="375" spans="1:9" ht="12.75" customHeight="1" x14ac:dyDescent="0.45">
      <c r="A375" s="138"/>
      <c r="B375" s="138"/>
      <c r="C375" s="134"/>
      <c r="D375" s="134"/>
      <c r="E375" s="134"/>
      <c r="F375" s="134"/>
      <c r="G375" s="134"/>
      <c r="H375" s="134"/>
      <c r="I375" s="134"/>
    </row>
    <row r="376" spans="1:9" ht="12.75" customHeight="1" x14ac:dyDescent="0.45">
      <c r="A376" s="138"/>
      <c r="B376" s="138"/>
      <c r="C376" s="134"/>
      <c r="D376" s="134"/>
      <c r="E376" s="134"/>
      <c r="F376" s="134"/>
      <c r="G376" s="134"/>
      <c r="H376" s="134"/>
      <c r="I376" s="134"/>
    </row>
    <row r="377" spans="1:9" ht="12.75" customHeight="1" x14ac:dyDescent="0.45">
      <c r="A377" s="138"/>
      <c r="B377" s="138"/>
      <c r="C377" s="134"/>
      <c r="D377" s="134"/>
      <c r="E377" s="134"/>
      <c r="F377" s="134"/>
      <c r="G377" s="134"/>
      <c r="H377" s="134"/>
      <c r="I377" s="134"/>
    </row>
    <row r="378" spans="1:9" ht="12.75" customHeight="1" x14ac:dyDescent="0.45">
      <c r="A378" s="138"/>
      <c r="B378" s="138"/>
      <c r="C378" s="134"/>
      <c r="D378" s="134"/>
      <c r="E378" s="134"/>
      <c r="F378" s="134"/>
      <c r="G378" s="134"/>
      <c r="H378" s="134"/>
      <c r="I378" s="134"/>
    </row>
    <row r="379" spans="1:9" ht="12.75" customHeight="1" x14ac:dyDescent="0.45">
      <c r="A379" s="138"/>
      <c r="B379" s="138"/>
      <c r="C379" s="134"/>
      <c r="D379" s="134"/>
      <c r="E379" s="134"/>
      <c r="F379" s="134"/>
      <c r="G379" s="134"/>
      <c r="H379" s="134"/>
      <c r="I379" s="134"/>
    </row>
    <row r="380" spans="1:9" ht="12.75" customHeight="1" x14ac:dyDescent="0.45">
      <c r="A380" s="138"/>
      <c r="B380" s="138"/>
      <c r="C380" s="134"/>
      <c r="D380" s="134"/>
      <c r="E380" s="134"/>
      <c r="F380" s="134"/>
      <c r="G380" s="134"/>
      <c r="H380" s="134"/>
      <c r="I380" s="134"/>
    </row>
    <row r="381" spans="1:9" ht="12.75" customHeight="1" x14ac:dyDescent="0.45">
      <c r="A381" s="138"/>
      <c r="B381" s="138"/>
      <c r="C381" s="134"/>
      <c r="D381" s="134"/>
      <c r="E381" s="134"/>
      <c r="F381" s="134"/>
      <c r="G381" s="134"/>
      <c r="H381" s="134"/>
      <c r="I381" s="134"/>
    </row>
    <row r="382" spans="1:9" ht="12.75" customHeight="1" x14ac:dyDescent="0.45">
      <c r="A382" s="138"/>
      <c r="B382" s="138"/>
      <c r="C382" s="134"/>
      <c r="D382" s="134"/>
      <c r="E382" s="134"/>
      <c r="F382" s="134"/>
      <c r="G382" s="134"/>
      <c r="H382" s="134"/>
      <c r="I382" s="134"/>
    </row>
    <row r="383" spans="1:9" ht="12.75" customHeight="1" x14ac:dyDescent="0.45">
      <c r="A383" s="138"/>
      <c r="B383" s="138"/>
      <c r="C383" s="134"/>
      <c r="D383" s="134"/>
      <c r="E383" s="134"/>
      <c r="F383" s="134"/>
      <c r="G383" s="134"/>
      <c r="H383" s="134"/>
      <c r="I383" s="134"/>
    </row>
    <row r="384" spans="1:9" ht="12.75" customHeight="1" x14ac:dyDescent="0.45">
      <c r="A384" s="138"/>
      <c r="B384" s="138"/>
      <c r="C384" s="134"/>
      <c r="D384" s="134"/>
      <c r="E384" s="134"/>
      <c r="F384" s="134"/>
      <c r="G384" s="134"/>
      <c r="H384" s="134"/>
      <c r="I384" s="134"/>
    </row>
    <row r="385" spans="1:9" ht="12.75" customHeight="1" x14ac:dyDescent="0.45">
      <c r="A385" s="138"/>
      <c r="B385" s="138"/>
      <c r="C385" s="134"/>
      <c r="D385" s="134"/>
      <c r="E385" s="134"/>
      <c r="F385" s="134"/>
      <c r="G385" s="134"/>
      <c r="H385" s="134"/>
      <c r="I385" s="134"/>
    </row>
    <row r="386" spans="1:9" ht="12.75" customHeight="1" x14ac:dyDescent="0.45">
      <c r="A386" s="138"/>
      <c r="B386" s="138"/>
      <c r="C386" s="134"/>
      <c r="D386" s="134"/>
      <c r="E386" s="134"/>
      <c r="F386" s="134"/>
      <c r="G386" s="134"/>
      <c r="H386" s="134"/>
      <c r="I386" s="134"/>
    </row>
    <row r="387" spans="1:9" ht="12.75" customHeight="1" x14ac:dyDescent="0.45">
      <c r="A387" s="138"/>
      <c r="B387" s="138"/>
      <c r="C387" s="134"/>
      <c r="D387" s="134"/>
      <c r="E387" s="134"/>
      <c r="F387" s="134"/>
      <c r="G387" s="134"/>
      <c r="H387" s="134"/>
      <c r="I387" s="134"/>
    </row>
    <row r="388" spans="1:9" ht="12.75" customHeight="1" x14ac:dyDescent="0.45">
      <c r="A388" s="138"/>
      <c r="B388" s="138"/>
      <c r="C388" s="134"/>
      <c r="D388" s="134"/>
      <c r="E388" s="134"/>
      <c r="F388" s="134"/>
      <c r="G388" s="134"/>
      <c r="H388" s="134"/>
      <c r="I388" s="134"/>
    </row>
    <row r="389" spans="1:9" ht="12.75" customHeight="1" x14ac:dyDescent="0.45">
      <c r="A389" s="138"/>
      <c r="B389" s="138"/>
      <c r="C389" s="134"/>
      <c r="D389" s="134"/>
      <c r="E389" s="134"/>
      <c r="F389" s="134"/>
      <c r="G389" s="134"/>
      <c r="H389" s="134"/>
      <c r="I389" s="134"/>
    </row>
    <row r="390" spans="1:9" ht="12.75" customHeight="1" x14ac:dyDescent="0.45">
      <c r="A390" s="138"/>
      <c r="B390" s="138"/>
      <c r="C390" s="134"/>
      <c r="D390" s="134"/>
      <c r="E390" s="134"/>
      <c r="F390" s="134"/>
      <c r="G390" s="134"/>
      <c r="H390" s="134"/>
      <c r="I390" s="134"/>
    </row>
    <row r="391" spans="1:9" ht="12.75" customHeight="1" x14ac:dyDescent="0.45">
      <c r="A391" s="138"/>
      <c r="B391" s="138"/>
      <c r="C391" s="134"/>
      <c r="D391" s="134"/>
      <c r="E391" s="134"/>
      <c r="F391" s="134"/>
      <c r="G391" s="134"/>
      <c r="H391" s="134"/>
      <c r="I391" s="134"/>
    </row>
    <row r="392" spans="1:9" ht="12.75" customHeight="1" x14ac:dyDescent="0.45">
      <c r="A392" s="138"/>
      <c r="B392" s="138"/>
      <c r="C392" s="134"/>
      <c r="D392" s="134"/>
      <c r="E392" s="134"/>
      <c r="F392" s="134"/>
      <c r="G392" s="134"/>
      <c r="H392" s="134"/>
      <c r="I392" s="134"/>
    </row>
    <row r="393" spans="1:9" ht="12.75" customHeight="1" x14ac:dyDescent="0.45">
      <c r="A393" s="138"/>
      <c r="B393" s="138"/>
      <c r="C393" s="134"/>
      <c r="D393" s="134"/>
      <c r="E393" s="134"/>
      <c r="F393" s="134"/>
      <c r="G393" s="134"/>
      <c r="H393" s="134"/>
      <c r="I393" s="134"/>
    </row>
    <row r="394" spans="1:9" ht="12.75" customHeight="1" x14ac:dyDescent="0.45">
      <c r="A394" s="138"/>
      <c r="B394" s="138"/>
      <c r="C394" s="134"/>
      <c r="D394" s="134"/>
      <c r="E394" s="134"/>
      <c r="F394" s="134"/>
      <c r="G394" s="134"/>
      <c r="H394" s="134"/>
      <c r="I394" s="134"/>
    </row>
    <row r="395" spans="1:9" ht="12.75" customHeight="1" x14ac:dyDescent="0.45">
      <c r="A395" s="138"/>
      <c r="B395" s="138"/>
      <c r="C395" s="134"/>
      <c r="D395" s="134"/>
      <c r="E395" s="134"/>
      <c r="F395" s="134"/>
      <c r="G395" s="134"/>
      <c r="H395" s="134"/>
      <c r="I395" s="134"/>
    </row>
    <row r="396" spans="1:9" ht="12.75" customHeight="1" x14ac:dyDescent="0.45">
      <c r="A396" s="138"/>
      <c r="B396" s="138"/>
      <c r="C396" s="134"/>
      <c r="D396" s="134"/>
      <c r="E396" s="134"/>
      <c r="F396" s="134"/>
      <c r="G396" s="134"/>
      <c r="H396" s="134"/>
      <c r="I396" s="134"/>
    </row>
    <row r="397" spans="1:9" ht="12.75" customHeight="1" x14ac:dyDescent="0.45">
      <c r="A397" s="138"/>
      <c r="B397" s="138"/>
      <c r="C397" s="134"/>
      <c r="D397" s="134"/>
      <c r="E397" s="134"/>
      <c r="F397" s="134"/>
      <c r="G397" s="134"/>
      <c r="H397" s="134"/>
      <c r="I397" s="134"/>
    </row>
    <row r="398" spans="1:9" ht="12.75" customHeight="1" x14ac:dyDescent="0.45">
      <c r="A398" s="138"/>
      <c r="B398" s="138"/>
      <c r="C398" s="134"/>
      <c r="D398" s="134"/>
      <c r="E398" s="134"/>
      <c r="F398" s="134"/>
      <c r="G398" s="134"/>
      <c r="H398" s="134"/>
      <c r="I398" s="134"/>
    </row>
    <row r="399" spans="1:9" ht="12.75" customHeight="1" x14ac:dyDescent="0.45">
      <c r="A399" s="138"/>
      <c r="B399" s="138"/>
      <c r="C399" s="134"/>
      <c r="D399" s="134"/>
      <c r="E399" s="134"/>
      <c r="F399" s="134"/>
      <c r="G399" s="134"/>
      <c r="H399" s="134"/>
      <c r="I399" s="134"/>
    </row>
    <row r="400" spans="1:9" ht="12.75" customHeight="1" x14ac:dyDescent="0.45">
      <c r="A400" s="138"/>
      <c r="B400" s="138"/>
      <c r="C400" s="134"/>
      <c r="D400" s="134"/>
      <c r="E400" s="134"/>
      <c r="F400" s="134"/>
      <c r="G400" s="134"/>
      <c r="H400" s="134"/>
      <c r="I400" s="134"/>
    </row>
    <row r="401" spans="1:9" ht="12.75" customHeight="1" x14ac:dyDescent="0.45">
      <c r="A401" s="138"/>
      <c r="B401" s="138"/>
      <c r="C401" s="134"/>
      <c r="D401" s="134"/>
      <c r="E401" s="134"/>
      <c r="F401" s="134"/>
      <c r="G401" s="134"/>
      <c r="H401" s="134"/>
      <c r="I401" s="134"/>
    </row>
    <row r="402" spans="1:9" ht="12.75" customHeight="1" x14ac:dyDescent="0.45">
      <c r="A402" s="138"/>
      <c r="B402" s="138"/>
      <c r="C402" s="134"/>
      <c r="D402" s="134"/>
      <c r="E402" s="134"/>
      <c r="F402" s="134"/>
      <c r="G402" s="134"/>
      <c r="H402" s="134"/>
      <c r="I402" s="134"/>
    </row>
    <row r="403" spans="1:9" ht="12.75" customHeight="1" x14ac:dyDescent="0.45">
      <c r="A403" s="138"/>
      <c r="B403" s="138"/>
      <c r="C403" s="134"/>
      <c r="D403" s="134"/>
      <c r="E403" s="134"/>
      <c r="F403" s="134"/>
      <c r="G403" s="134"/>
      <c r="H403" s="134"/>
      <c r="I403" s="134"/>
    </row>
    <row r="404" spans="1:9" ht="12.75" customHeight="1" x14ac:dyDescent="0.45">
      <c r="A404" s="138"/>
      <c r="B404" s="138"/>
      <c r="C404" s="134"/>
      <c r="D404" s="134"/>
      <c r="E404" s="134"/>
      <c r="F404" s="134"/>
      <c r="G404" s="134"/>
      <c r="H404" s="134"/>
      <c r="I404" s="134"/>
    </row>
    <row r="405" spans="1:9" ht="12.75" customHeight="1" x14ac:dyDescent="0.45">
      <c r="A405" s="138"/>
      <c r="B405" s="138"/>
      <c r="C405" s="134"/>
      <c r="D405" s="134"/>
      <c r="E405" s="134"/>
      <c r="F405" s="134"/>
      <c r="G405" s="134"/>
      <c r="H405" s="134"/>
      <c r="I405" s="134"/>
    </row>
    <row r="406" spans="1:9" ht="12.75" customHeight="1" x14ac:dyDescent="0.45">
      <c r="A406" s="138"/>
      <c r="B406" s="138"/>
      <c r="C406" s="134"/>
      <c r="D406" s="134"/>
      <c r="E406" s="134"/>
      <c r="F406" s="134"/>
      <c r="G406" s="134"/>
      <c r="H406" s="134"/>
      <c r="I406" s="134"/>
    </row>
    <row r="407" spans="1:9" ht="12.75" customHeight="1" x14ac:dyDescent="0.45">
      <c r="A407" s="138"/>
      <c r="B407" s="138"/>
      <c r="C407" s="134"/>
      <c r="D407" s="134"/>
      <c r="E407" s="134"/>
      <c r="F407" s="134"/>
      <c r="G407" s="134"/>
      <c r="H407" s="134"/>
      <c r="I407" s="134"/>
    </row>
    <row r="408" spans="1:9" ht="12.75" customHeight="1" x14ac:dyDescent="0.45">
      <c r="A408" s="138"/>
      <c r="B408" s="138"/>
      <c r="C408" s="134"/>
      <c r="D408" s="134"/>
      <c r="E408" s="134"/>
      <c r="F408" s="134"/>
      <c r="G408" s="134"/>
      <c r="H408" s="134"/>
      <c r="I408" s="134"/>
    </row>
    <row r="409" spans="1:9" ht="12.75" customHeight="1" x14ac:dyDescent="0.45">
      <c r="A409" s="138"/>
      <c r="B409" s="138"/>
      <c r="C409" s="134"/>
      <c r="D409" s="134"/>
      <c r="E409" s="134"/>
      <c r="F409" s="134"/>
      <c r="G409" s="134"/>
      <c r="H409" s="134"/>
      <c r="I409" s="134"/>
    </row>
    <row r="410" spans="1:9" ht="12.75" customHeight="1" x14ac:dyDescent="0.45">
      <c r="A410" s="138"/>
      <c r="B410" s="138"/>
      <c r="C410" s="134"/>
      <c r="D410" s="134"/>
      <c r="E410" s="134"/>
      <c r="F410" s="134"/>
      <c r="G410" s="134"/>
      <c r="H410" s="134"/>
      <c r="I410" s="134"/>
    </row>
    <row r="411" spans="1:9" ht="12.75" customHeight="1" x14ac:dyDescent="0.45">
      <c r="A411" s="138"/>
      <c r="B411" s="138"/>
      <c r="C411" s="134"/>
      <c r="D411" s="134"/>
      <c r="E411" s="134"/>
      <c r="F411" s="134"/>
      <c r="G411" s="134"/>
      <c r="H411" s="134"/>
      <c r="I411" s="134"/>
    </row>
    <row r="412" spans="1:9" ht="12.75" customHeight="1" x14ac:dyDescent="0.45">
      <c r="A412" s="138"/>
      <c r="B412" s="138"/>
      <c r="C412" s="134"/>
      <c r="D412" s="134"/>
      <c r="E412" s="134"/>
      <c r="F412" s="134"/>
      <c r="G412" s="134"/>
      <c r="H412" s="134"/>
      <c r="I412" s="134"/>
    </row>
    <row r="413" spans="1:9" ht="12.75" customHeight="1" x14ac:dyDescent="0.45">
      <c r="A413" s="138"/>
      <c r="B413" s="138"/>
      <c r="C413" s="134"/>
      <c r="D413" s="134"/>
      <c r="E413" s="134"/>
      <c r="F413" s="134"/>
      <c r="G413" s="134"/>
      <c r="H413" s="134"/>
      <c r="I413" s="134"/>
    </row>
    <row r="414" spans="1:9" ht="12.75" customHeight="1" x14ac:dyDescent="0.45">
      <c r="A414" s="138"/>
      <c r="B414" s="138"/>
      <c r="C414" s="134"/>
      <c r="D414" s="134"/>
      <c r="E414" s="134"/>
      <c r="F414" s="134"/>
      <c r="G414" s="134"/>
      <c r="H414" s="134"/>
      <c r="I414" s="134"/>
    </row>
    <row r="415" spans="1:9" ht="12.75" customHeight="1" x14ac:dyDescent="0.45">
      <c r="A415" s="138"/>
      <c r="B415" s="138"/>
      <c r="C415" s="134"/>
      <c r="D415" s="134"/>
      <c r="E415" s="134"/>
      <c r="F415" s="134"/>
      <c r="G415" s="134"/>
      <c r="H415" s="134"/>
      <c r="I415" s="134"/>
    </row>
    <row r="416" spans="1:9" ht="12.75" customHeight="1" x14ac:dyDescent="0.45">
      <c r="A416" s="138"/>
      <c r="B416" s="138"/>
      <c r="C416" s="134"/>
      <c r="D416" s="134"/>
      <c r="E416" s="134"/>
      <c r="F416" s="134"/>
      <c r="G416" s="134"/>
      <c r="H416" s="134"/>
      <c r="I416" s="134"/>
    </row>
    <row r="417" spans="1:9" ht="12.75" customHeight="1" x14ac:dyDescent="0.45">
      <c r="A417" s="138"/>
      <c r="B417" s="138"/>
      <c r="C417" s="134"/>
      <c r="D417" s="134"/>
      <c r="E417" s="134"/>
      <c r="F417" s="134"/>
      <c r="G417" s="134"/>
      <c r="H417" s="134"/>
      <c r="I417" s="134"/>
    </row>
    <row r="418" spans="1:9" ht="12.75" customHeight="1" x14ac:dyDescent="0.45">
      <c r="A418" s="138"/>
      <c r="B418" s="138"/>
      <c r="C418" s="134"/>
      <c r="D418" s="134"/>
      <c r="E418" s="134"/>
      <c r="F418" s="134"/>
      <c r="G418" s="134"/>
      <c r="H418" s="134"/>
      <c r="I418" s="134"/>
    </row>
    <row r="419" spans="1:9" ht="12.75" customHeight="1" x14ac:dyDescent="0.45">
      <c r="A419" s="138"/>
      <c r="B419" s="138"/>
      <c r="C419" s="134"/>
      <c r="D419" s="134"/>
      <c r="E419" s="134"/>
      <c r="F419" s="134"/>
      <c r="G419" s="134"/>
      <c r="H419" s="134"/>
      <c r="I419" s="134"/>
    </row>
    <row r="420" spans="1:9" ht="12.75" customHeight="1" x14ac:dyDescent="0.45">
      <c r="A420" s="138"/>
      <c r="B420" s="138"/>
      <c r="C420" s="134"/>
      <c r="D420" s="134"/>
      <c r="E420" s="134"/>
      <c r="F420" s="134"/>
      <c r="G420" s="134"/>
      <c r="H420" s="134"/>
      <c r="I420" s="134"/>
    </row>
    <row r="421" spans="1:9" ht="12.75" customHeight="1" x14ac:dyDescent="0.45">
      <c r="A421" s="138"/>
      <c r="B421" s="138"/>
      <c r="C421" s="134"/>
      <c r="D421" s="134"/>
      <c r="E421" s="134"/>
      <c r="F421" s="134"/>
      <c r="G421" s="134"/>
      <c r="H421" s="134"/>
      <c r="I421" s="134"/>
    </row>
    <row r="422" spans="1:9" ht="12.75" customHeight="1" x14ac:dyDescent="0.45">
      <c r="A422" s="138"/>
      <c r="B422" s="138"/>
      <c r="C422" s="134"/>
      <c r="D422" s="134"/>
      <c r="E422" s="134"/>
      <c r="F422" s="134"/>
      <c r="G422" s="134"/>
      <c r="H422" s="134"/>
      <c r="I422" s="134"/>
    </row>
    <row r="423" spans="1:9" ht="12.75" customHeight="1" x14ac:dyDescent="0.45">
      <c r="A423" s="138"/>
      <c r="B423" s="138"/>
      <c r="C423" s="134"/>
      <c r="D423" s="134"/>
      <c r="E423" s="134"/>
      <c r="F423" s="134"/>
      <c r="G423" s="134"/>
      <c r="H423" s="134"/>
      <c r="I423" s="134"/>
    </row>
    <row r="424" spans="1:9" ht="12.75" customHeight="1" x14ac:dyDescent="0.45">
      <c r="A424" s="138"/>
      <c r="B424" s="138"/>
      <c r="C424" s="134"/>
      <c r="D424" s="134"/>
      <c r="E424" s="134"/>
      <c r="F424" s="134"/>
      <c r="G424" s="134"/>
      <c r="H424" s="134"/>
      <c r="I424" s="134"/>
    </row>
    <row r="425" spans="1:9" ht="12.75" customHeight="1" x14ac:dyDescent="0.45">
      <c r="A425" s="138"/>
      <c r="B425" s="138"/>
      <c r="C425" s="134"/>
      <c r="D425" s="134"/>
      <c r="E425" s="134"/>
      <c r="F425" s="134"/>
      <c r="G425" s="134"/>
      <c r="H425" s="134"/>
      <c r="I425" s="134"/>
    </row>
    <row r="426" spans="1:9" ht="12.75" customHeight="1" x14ac:dyDescent="0.45">
      <c r="A426" s="138"/>
      <c r="B426" s="138"/>
      <c r="C426" s="134"/>
      <c r="D426" s="134"/>
      <c r="E426" s="134"/>
      <c r="F426" s="134"/>
      <c r="G426" s="134"/>
      <c r="H426" s="134"/>
      <c r="I426" s="134"/>
    </row>
    <row r="427" spans="1:9" ht="12.75" customHeight="1" x14ac:dyDescent="0.45">
      <c r="A427" s="138"/>
      <c r="B427" s="138"/>
      <c r="C427" s="134"/>
      <c r="D427" s="134"/>
      <c r="E427" s="134"/>
      <c r="F427" s="134"/>
      <c r="G427" s="134"/>
      <c r="H427" s="134"/>
      <c r="I427" s="134"/>
    </row>
    <row r="428" spans="1:9" ht="12.75" customHeight="1" x14ac:dyDescent="0.45">
      <c r="A428" s="138"/>
      <c r="B428" s="138"/>
      <c r="C428" s="134"/>
      <c r="D428" s="134"/>
      <c r="E428" s="134"/>
      <c r="F428" s="134"/>
      <c r="G428" s="134"/>
      <c r="H428" s="134"/>
      <c r="I428" s="134"/>
    </row>
    <row r="429" spans="1:9" ht="12.75" customHeight="1" x14ac:dyDescent="0.45">
      <c r="A429" s="138"/>
      <c r="B429" s="138"/>
      <c r="C429" s="134"/>
      <c r="D429" s="134"/>
      <c r="E429" s="134"/>
      <c r="F429" s="134"/>
      <c r="G429" s="134"/>
      <c r="H429" s="134"/>
      <c r="I429" s="134"/>
    </row>
    <row r="430" spans="1:9" ht="12.75" customHeight="1" x14ac:dyDescent="0.45">
      <c r="A430" s="138"/>
      <c r="B430" s="138"/>
      <c r="C430" s="134"/>
      <c r="D430" s="134"/>
      <c r="E430" s="134"/>
      <c r="F430" s="134"/>
      <c r="G430" s="134"/>
      <c r="H430" s="134"/>
      <c r="I430" s="134"/>
    </row>
    <row r="431" spans="1:9" ht="12.75" customHeight="1" x14ac:dyDescent="0.45">
      <c r="A431" s="138"/>
      <c r="B431" s="138"/>
      <c r="C431" s="134"/>
      <c r="D431" s="134"/>
      <c r="E431" s="134"/>
      <c r="F431" s="134"/>
      <c r="G431" s="134"/>
      <c r="H431" s="134"/>
      <c r="I431" s="134"/>
    </row>
    <row r="432" spans="1:9" ht="12.75" customHeight="1" x14ac:dyDescent="0.45">
      <c r="A432" s="138"/>
      <c r="B432" s="138"/>
      <c r="C432" s="134"/>
      <c r="D432" s="134"/>
      <c r="E432" s="134"/>
      <c r="F432" s="134"/>
      <c r="G432" s="134"/>
      <c r="H432" s="134"/>
      <c r="I432" s="134"/>
    </row>
    <row r="433" spans="1:9" ht="12.75" customHeight="1" x14ac:dyDescent="0.45">
      <c r="A433" s="138"/>
      <c r="B433" s="138"/>
      <c r="C433" s="134"/>
      <c r="D433" s="134"/>
      <c r="E433" s="134"/>
      <c r="F433" s="134"/>
      <c r="G433" s="134"/>
      <c r="H433" s="134"/>
      <c r="I433" s="134"/>
    </row>
    <row r="434" spans="1:9" ht="12.75" customHeight="1" x14ac:dyDescent="0.45">
      <c r="A434" s="138"/>
      <c r="B434" s="138"/>
      <c r="C434" s="134"/>
      <c r="D434" s="134"/>
      <c r="E434" s="134"/>
      <c r="F434" s="134"/>
      <c r="G434" s="134"/>
      <c r="H434" s="134"/>
      <c r="I434" s="134"/>
    </row>
    <row r="435" spans="1:9" ht="12.75" customHeight="1" x14ac:dyDescent="0.45">
      <c r="A435" s="138"/>
      <c r="B435" s="138"/>
      <c r="C435" s="134"/>
      <c r="D435" s="134"/>
      <c r="E435" s="134"/>
      <c r="F435" s="134"/>
      <c r="G435" s="134"/>
      <c r="H435" s="134"/>
      <c r="I435" s="134"/>
    </row>
    <row r="436" spans="1:9" ht="12.75" customHeight="1" x14ac:dyDescent="0.45">
      <c r="A436" s="138"/>
      <c r="B436" s="138"/>
      <c r="C436" s="134"/>
      <c r="D436" s="134"/>
      <c r="E436" s="134"/>
      <c r="F436" s="134"/>
      <c r="G436" s="134"/>
      <c r="H436" s="134"/>
      <c r="I436" s="134"/>
    </row>
    <row r="437" spans="1:9" ht="12.75" customHeight="1" x14ac:dyDescent="0.45">
      <c r="A437" s="138"/>
      <c r="B437" s="138"/>
      <c r="C437" s="134"/>
      <c r="D437" s="134"/>
      <c r="E437" s="134"/>
      <c r="F437" s="134"/>
      <c r="G437" s="134"/>
      <c r="H437" s="134"/>
      <c r="I437" s="134"/>
    </row>
    <row r="438" spans="1:9" ht="12.75" customHeight="1" x14ac:dyDescent="0.45">
      <c r="A438" s="138"/>
      <c r="B438" s="138"/>
      <c r="C438" s="134"/>
      <c r="D438" s="134"/>
      <c r="E438" s="134"/>
      <c r="F438" s="134"/>
      <c r="G438" s="134"/>
      <c r="H438" s="134"/>
      <c r="I438" s="134"/>
    </row>
    <row r="439" spans="1:9" ht="12.75" customHeight="1" x14ac:dyDescent="0.45">
      <c r="A439" s="138"/>
      <c r="B439" s="138"/>
      <c r="C439" s="134"/>
      <c r="D439" s="134"/>
      <c r="E439" s="134"/>
      <c r="F439" s="134"/>
      <c r="G439" s="134"/>
      <c r="H439" s="134"/>
      <c r="I439" s="134"/>
    </row>
    <row r="440" spans="1:9" ht="12.75" customHeight="1" x14ac:dyDescent="0.45">
      <c r="A440" s="138"/>
      <c r="B440" s="138"/>
      <c r="C440" s="134"/>
      <c r="D440" s="134"/>
      <c r="E440" s="134"/>
      <c r="F440" s="134"/>
      <c r="G440" s="134"/>
      <c r="H440" s="134"/>
      <c r="I440" s="134"/>
    </row>
    <row r="441" spans="1:9" ht="12.75" customHeight="1" x14ac:dyDescent="0.45">
      <c r="A441" s="138"/>
      <c r="B441" s="138"/>
      <c r="C441" s="134"/>
      <c r="D441" s="134"/>
      <c r="E441" s="134"/>
      <c r="F441" s="134"/>
      <c r="G441" s="134"/>
      <c r="H441" s="134"/>
      <c r="I441" s="134"/>
    </row>
    <row r="442" spans="1:9" ht="12.75" customHeight="1" x14ac:dyDescent="0.45">
      <c r="A442" s="138"/>
      <c r="B442" s="138"/>
      <c r="C442" s="134"/>
      <c r="D442" s="134"/>
      <c r="E442" s="134"/>
      <c r="F442" s="134"/>
      <c r="G442" s="134"/>
      <c r="H442" s="134"/>
      <c r="I442" s="134"/>
    </row>
    <row r="443" spans="1:9" ht="12.75" customHeight="1" x14ac:dyDescent="0.45">
      <c r="A443" s="138"/>
      <c r="B443" s="138"/>
      <c r="C443" s="134"/>
      <c r="D443" s="134"/>
      <c r="E443" s="134"/>
      <c r="F443" s="134"/>
      <c r="G443" s="134"/>
      <c r="H443" s="134"/>
      <c r="I443" s="134"/>
    </row>
    <row r="444" spans="1:9" ht="12.75" customHeight="1" x14ac:dyDescent="0.45">
      <c r="A444" s="138"/>
      <c r="B444" s="138"/>
      <c r="C444" s="134"/>
      <c r="D444" s="134"/>
      <c r="E444" s="134"/>
      <c r="F444" s="134"/>
      <c r="G444" s="134"/>
      <c r="H444" s="134"/>
      <c r="I444" s="134"/>
    </row>
    <row r="445" spans="1:9" ht="12.75" customHeight="1" x14ac:dyDescent="0.45">
      <c r="A445" s="138"/>
      <c r="B445" s="138"/>
      <c r="C445" s="134"/>
      <c r="D445" s="134"/>
      <c r="E445" s="134"/>
      <c r="F445" s="134"/>
      <c r="G445" s="134"/>
      <c r="H445" s="134"/>
      <c r="I445" s="134"/>
    </row>
    <row r="446" spans="1:9" ht="12.75" customHeight="1" x14ac:dyDescent="0.45">
      <c r="A446" s="138"/>
      <c r="B446" s="138"/>
      <c r="C446" s="134"/>
      <c r="D446" s="134"/>
      <c r="E446" s="134"/>
      <c r="F446" s="134"/>
      <c r="G446" s="134"/>
      <c r="H446" s="134"/>
      <c r="I446" s="134"/>
    </row>
    <row r="447" spans="1:9" ht="12.75" customHeight="1" x14ac:dyDescent="0.45">
      <c r="A447" s="138"/>
      <c r="B447" s="138"/>
      <c r="C447" s="134"/>
      <c r="D447" s="134"/>
      <c r="E447" s="134"/>
      <c r="F447" s="134"/>
      <c r="G447" s="134"/>
      <c r="H447" s="134"/>
      <c r="I447" s="134"/>
    </row>
    <row r="448" spans="1:9" ht="12.75" customHeight="1" x14ac:dyDescent="0.45">
      <c r="A448" s="138"/>
      <c r="B448" s="138"/>
      <c r="C448" s="134"/>
      <c r="D448" s="134"/>
      <c r="E448" s="134"/>
      <c r="F448" s="134"/>
      <c r="G448" s="134"/>
      <c r="H448" s="134"/>
      <c r="I448" s="134"/>
    </row>
    <row r="449" spans="1:9" ht="12.75" customHeight="1" x14ac:dyDescent="0.45">
      <c r="A449" s="138"/>
      <c r="B449" s="138"/>
      <c r="C449" s="134"/>
      <c r="D449" s="134"/>
      <c r="E449" s="134"/>
      <c r="F449" s="134"/>
      <c r="G449" s="134"/>
      <c r="H449" s="134"/>
      <c r="I449" s="134"/>
    </row>
    <row r="450" spans="1:9" ht="12.75" customHeight="1" x14ac:dyDescent="0.45">
      <c r="A450" s="138"/>
      <c r="B450" s="138"/>
      <c r="C450" s="134"/>
      <c r="D450" s="134"/>
      <c r="E450" s="134"/>
      <c r="F450" s="134"/>
      <c r="G450" s="134"/>
      <c r="H450" s="134"/>
      <c r="I450" s="134"/>
    </row>
    <row r="451" spans="1:9" ht="12.75" customHeight="1" x14ac:dyDescent="0.45">
      <c r="A451" s="138"/>
      <c r="B451" s="138"/>
      <c r="C451" s="134"/>
      <c r="D451" s="134"/>
      <c r="E451" s="134"/>
      <c r="F451" s="134"/>
      <c r="G451" s="134"/>
      <c r="H451" s="134"/>
      <c r="I451" s="134"/>
    </row>
    <row r="452" spans="1:9" ht="12.75" customHeight="1" x14ac:dyDescent="0.45">
      <c r="A452" s="138"/>
      <c r="B452" s="138"/>
      <c r="C452" s="134"/>
      <c r="D452" s="134"/>
      <c r="E452" s="134"/>
      <c r="F452" s="134"/>
      <c r="G452" s="134"/>
      <c r="H452" s="134"/>
      <c r="I452" s="134"/>
    </row>
    <row r="453" spans="1:9" ht="12.75" customHeight="1" x14ac:dyDescent="0.45">
      <c r="A453" s="138"/>
      <c r="B453" s="138"/>
      <c r="C453" s="134"/>
      <c r="D453" s="134"/>
      <c r="E453" s="134"/>
      <c r="F453" s="134"/>
      <c r="G453" s="134"/>
      <c r="H453" s="134"/>
      <c r="I453" s="134"/>
    </row>
    <row r="454" spans="1:9" ht="12.75" customHeight="1" x14ac:dyDescent="0.45">
      <c r="A454" s="138"/>
      <c r="B454" s="138"/>
      <c r="C454" s="134"/>
      <c r="D454" s="134"/>
      <c r="E454" s="134"/>
      <c r="F454" s="134"/>
      <c r="G454" s="134"/>
      <c r="H454" s="134"/>
      <c r="I454" s="134"/>
    </row>
    <row r="455" spans="1:9" ht="12.75" customHeight="1" x14ac:dyDescent="0.45">
      <c r="A455" s="138"/>
      <c r="B455" s="138"/>
      <c r="C455" s="134"/>
      <c r="D455" s="134"/>
      <c r="E455" s="134"/>
      <c r="F455" s="134"/>
      <c r="G455" s="134"/>
      <c r="H455" s="134"/>
      <c r="I455" s="134"/>
    </row>
    <row r="456" spans="1:9" ht="12.75" customHeight="1" x14ac:dyDescent="0.45">
      <c r="A456" s="138"/>
      <c r="B456" s="138"/>
      <c r="C456" s="134"/>
      <c r="D456" s="134"/>
      <c r="E456" s="134"/>
      <c r="F456" s="134"/>
      <c r="G456" s="134"/>
      <c r="H456" s="134"/>
      <c r="I456" s="134"/>
    </row>
    <row r="457" spans="1:9" ht="12.75" customHeight="1" x14ac:dyDescent="0.45">
      <c r="A457" s="138"/>
      <c r="B457" s="138"/>
      <c r="C457" s="134"/>
      <c r="D457" s="134"/>
      <c r="E457" s="134"/>
      <c r="F457" s="134"/>
      <c r="G457" s="134"/>
      <c r="H457" s="134"/>
      <c r="I457" s="134"/>
    </row>
    <row r="458" spans="1:9" ht="12.75" customHeight="1" x14ac:dyDescent="0.45">
      <c r="A458" s="138"/>
      <c r="B458" s="138"/>
      <c r="C458" s="134"/>
      <c r="D458" s="134"/>
      <c r="E458" s="134"/>
      <c r="F458" s="134"/>
      <c r="G458" s="134"/>
      <c r="H458" s="134"/>
      <c r="I458" s="134"/>
    </row>
    <row r="459" spans="1:9" ht="12.75" customHeight="1" x14ac:dyDescent="0.45">
      <c r="A459" s="138"/>
      <c r="B459" s="138"/>
      <c r="C459" s="134"/>
      <c r="D459" s="134"/>
      <c r="E459" s="134"/>
      <c r="F459" s="134"/>
      <c r="G459" s="134"/>
      <c r="H459" s="134"/>
      <c r="I459" s="134"/>
    </row>
    <row r="460" spans="1:9" ht="12.75" customHeight="1" x14ac:dyDescent="0.45">
      <c r="A460" s="138"/>
      <c r="B460" s="138"/>
      <c r="C460" s="134"/>
      <c r="D460" s="134"/>
      <c r="E460" s="134"/>
      <c r="F460" s="134"/>
      <c r="G460" s="134"/>
      <c r="H460" s="134"/>
      <c r="I460" s="134"/>
    </row>
    <row r="461" spans="1:9" ht="12.75" customHeight="1" x14ac:dyDescent="0.45">
      <c r="A461" s="138"/>
      <c r="B461" s="138"/>
      <c r="C461" s="134"/>
      <c r="D461" s="134"/>
      <c r="E461" s="134"/>
      <c r="F461" s="134"/>
      <c r="G461" s="134"/>
      <c r="H461" s="134"/>
      <c r="I461" s="134"/>
    </row>
    <row r="462" spans="1:9" ht="12.75" customHeight="1" x14ac:dyDescent="0.45">
      <c r="A462" s="138"/>
      <c r="B462" s="138"/>
      <c r="C462" s="134"/>
      <c r="D462" s="134"/>
      <c r="E462" s="134"/>
      <c r="F462" s="134"/>
      <c r="G462" s="134"/>
      <c r="H462" s="134"/>
      <c r="I462" s="134"/>
    </row>
    <row r="463" spans="1:9" ht="12.75" customHeight="1" x14ac:dyDescent="0.45">
      <c r="A463" s="138"/>
      <c r="B463" s="138"/>
      <c r="C463" s="134"/>
      <c r="D463" s="134"/>
      <c r="E463" s="134"/>
      <c r="F463" s="134"/>
      <c r="G463" s="134"/>
      <c r="H463" s="134"/>
      <c r="I463" s="134"/>
    </row>
    <row r="464" spans="1:9" ht="12.75" customHeight="1" x14ac:dyDescent="0.45">
      <c r="A464" s="138"/>
      <c r="B464" s="138"/>
      <c r="C464" s="134"/>
      <c r="D464" s="134"/>
      <c r="E464" s="134"/>
      <c r="F464" s="134"/>
      <c r="G464" s="134"/>
      <c r="H464" s="134"/>
      <c r="I464" s="134"/>
    </row>
    <row r="465" spans="1:9" ht="12.75" customHeight="1" x14ac:dyDescent="0.45">
      <c r="A465" s="138"/>
      <c r="B465" s="138"/>
      <c r="C465" s="134"/>
      <c r="D465" s="134"/>
      <c r="E465" s="134"/>
      <c r="F465" s="134"/>
      <c r="G465" s="134"/>
      <c r="H465" s="134"/>
      <c r="I465" s="134"/>
    </row>
    <row r="466" spans="1:9" ht="12.75" customHeight="1" x14ac:dyDescent="0.45">
      <c r="A466" s="138"/>
      <c r="B466" s="138"/>
      <c r="C466" s="134"/>
      <c r="D466" s="134"/>
      <c r="E466" s="134"/>
      <c r="F466" s="134"/>
      <c r="G466" s="134"/>
      <c r="H466" s="134"/>
      <c r="I466" s="134"/>
    </row>
    <row r="467" spans="1:9" ht="12.75" customHeight="1" x14ac:dyDescent="0.45">
      <c r="A467" s="138"/>
      <c r="B467" s="138"/>
      <c r="C467" s="134"/>
      <c r="D467" s="134"/>
      <c r="E467" s="134"/>
      <c r="F467" s="134"/>
      <c r="G467" s="134"/>
      <c r="H467" s="134"/>
      <c r="I467" s="134"/>
    </row>
    <row r="468" spans="1:9" ht="12.75" customHeight="1" x14ac:dyDescent="0.45">
      <c r="A468" s="138"/>
      <c r="B468" s="138"/>
      <c r="C468" s="134"/>
      <c r="D468" s="134"/>
      <c r="E468" s="134"/>
      <c r="F468" s="134"/>
      <c r="G468" s="134"/>
      <c r="H468" s="134"/>
      <c r="I468" s="134"/>
    </row>
    <row r="469" spans="1:9" ht="12.75" customHeight="1" x14ac:dyDescent="0.45">
      <c r="A469" s="138"/>
      <c r="B469" s="138"/>
      <c r="C469" s="134"/>
      <c r="D469" s="134"/>
      <c r="E469" s="134"/>
      <c r="F469" s="134"/>
      <c r="G469" s="134"/>
      <c r="H469" s="134"/>
      <c r="I469" s="134"/>
    </row>
    <row r="470" spans="1:9" ht="12.75" customHeight="1" x14ac:dyDescent="0.45">
      <c r="A470" s="138"/>
      <c r="B470" s="138"/>
      <c r="C470" s="134"/>
      <c r="D470" s="134"/>
      <c r="E470" s="134"/>
      <c r="F470" s="134"/>
      <c r="G470" s="134"/>
      <c r="H470" s="134"/>
      <c r="I470" s="134"/>
    </row>
    <row r="471" spans="1:9" ht="12.75" customHeight="1" x14ac:dyDescent="0.45">
      <c r="A471" s="138"/>
      <c r="B471" s="138"/>
      <c r="C471" s="134"/>
      <c r="D471" s="134"/>
      <c r="E471" s="134"/>
      <c r="F471" s="134"/>
      <c r="G471" s="134"/>
      <c r="H471" s="134"/>
      <c r="I471" s="134"/>
    </row>
    <row r="472" spans="1:9" ht="12.75" customHeight="1" x14ac:dyDescent="0.45">
      <c r="A472" s="138"/>
      <c r="B472" s="138"/>
      <c r="C472" s="134"/>
      <c r="D472" s="134"/>
      <c r="E472" s="134"/>
      <c r="F472" s="134"/>
      <c r="G472" s="134"/>
      <c r="H472" s="134"/>
      <c r="I472" s="134"/>
    </row>
    <row r="473" spans="1:9" ht="12.75" customHeight="1" x14ac:dyDescent="0.45">
      <c r="A473" s="138"/>
      <c r="B473" s="138"/>
      <c r="C473" s="134"/>
      <c r="D473" s="134"/>
      <c r="E473" s="134"/>
      <c r="F473" s="134"/>
      <c r="G473" s="134"/>
      <c r="H473" s="134"/>
      <c r="I473" s="134"/>
    </row>
    <row r="474" spans="1:9" ht="12.75" customHeight="1" x14ac:dyDescent="0.45">
      <c r="A474" s="138"/>
      <c r="B474" s="138"/>
      <c r="C474" s="134"/>
      <c r="D474" s="134"/>
      <c r="E474" s="134"/>
      <c r="F474" s="134"/>
      <c r="G474" s="134"/>
      <c r="H474" s="134"/>
      <c r="I474" s="134"/>
    </row>
    <row r="475" spans="1:9" ht="12.75" customHeight="1" x14ac:dyDescent="0.45">
      <c r="A475" s="138"/>
      <c r="B475" s="138"/>
      <c r="C475" s="134"/>
      <c r="D475" s="134"/>
      <c r="E475" s="134"/>
      <c r="F475" s="134"/>
      <c r="G475" s="134"/>
      <c r="H475" s="134"/>
      <c r="I475" s="134"/>
    </row>
    <row r="476" spans="1:9" ht="12.75" customHeight="1" x14ac:dyDescent="0.45">
      <c r="A476" s="138"/>
      <c r="B476" s="138"/>
      <c r="C476" s="134"/>
      <c r="D476" s="134"/>
      <c r="E476" s="134"/>
      <c r="F476" s="134"/>
      <c r="G476" s="134"/>
      <c r="H476" s="134"/>
      <c r="I476" s="134"/>
    </row>
    <row r="477" spans="1:9" ht="12.75" customHeight="1" x14ac:dyDescent="0.45">
      <c r="A477" s="138"/>
      <c r="B477" s="138"/>
      <c r="C477" s="134"/>
      <c r="D477" s="134"/>
      <c r="E477" s="134"/>
      <c r="F477" s="134"/>
      <c r="G477" s="134"/>
      <c r="H477" s="134"/>
      <c r="I477" s="134"/>
    </row>
    <row r="478" spans="1:9" ht="12.75" customHeight="1" x14ac:dyDescent="0.45">
      <c r="A478" s="138"/>
      <c r="B478" s="138"/>
      <c r="C478" s="134"/>
      <c r="D478" s="134"/>
      <c r="E478" s="134"/>
      <c r="F478" s="134"/>
      <c r="G478" s="134"/>
      <c r="H478" s="134"/>
      <c r="I478" s="134"/>
    </row>
    <row r="479" spans="1:9" ht="12.75" customHeight="1" x14ac:dyDescent="0.45">
      <c r="A479" s="138"/>
      <c r="B479" s="138"/>
      <c r="C479" s="134"/>
      <c r="D479" s="134"/>
      <c r="E479" s="134"/>
      <c r="F479" s="134"/>
      <c r="G479" s="134"/>
      <c r="H479" s="134"/>
      <c r="I479" s="134"/>
    </row>
    <row r="480" spans="1:9" ht="12.75" customHeight="1" x14ac:dyDescent="0.45">
      <c r="A480" s="138"/>
      <c r="B480" s="138"/>
      <c r="C480" s="134"/>
      <c r="D480" s="134"/>
      <c r="E480" s="134"/>
      <c r="F480" s="134"/>
      <c r="G480" s="134"/>
      <c r="H480" s="134"/>
      <c r="I480" s="134"/>
    </row>
    <row r="481" spans="1:9" ht="12.75" customHeight="1" x14ac:dyDescent="0.45">
      <c r="A481" s="138"/>
      <c r="B481" s="138"/>
      <c r="C481" s="134"/>
      <c r="D481" s="134"/>
      <c r="E481" s="134"/>
      <c r="F481" s="134"/>
      <c r="G481" s="134"/>
      <c r="H481" s="134"/>
      <c r="I481" s="134"/>
    </row>
    <row r="482" spans="1:9" ht="12.75" customHeight="1" x14ac:dyDescent="0.45">
      <c r="A482" s="138"/>
      <c r="B482" s="138"/>
      <c r="C482" s="134"/>
      <c r="D482" s="134"/>
      <c r="E482" s="134"/>
      <c r="F482" s="134"/>
      <c r="G482" s="134"/>
      <c r="H482" s="134"/>
      <c r="I482" s="134"/>
    </row>
    <row r="483" spans="1:9" ht="12.75" customHeight="1" x14ac:dyDescent="0.45">
      <c r="A483" s="138"/>
      <c r="B483" s="138"/>
      <c r="C483" s="134"/>
      <c r="D483" s="134"/>
      <c r="E483" s="134"/>
      <c r="F483" s="134"/>
      <c r="G483" s="134"/>
      <c r="H483" s="134"/>
      <c r="I483" s="134"/>
    </row>
    <row r="484" spans="1:9" ht="12.75" customHeight="1" x14ac:dyDescent="0.45">
      <c r="A484" s="138"/>
      <c r="B484" s="138"/>
      <c r="C484" s="134"/>
      <c r="D484" s="134"/>
      <c r="E484" s="134"/>
      <c r="F484" s="134"/>
      <c r="G484" s="134"/>
      <c r="H484" s="134"/>
      <c r="I484" s="134"/>
    </row>
    <row r="485" spans="1:9" ht="12.75" customHeight="1" x14ac:dyDescent="0.45">
      <c r="A485" s="138"/>
      <c r="B485" s="138"/>
      <c r="C485" s="134"/>
      <c r="D485" s="134"/>
      <c r="E485" s="134"/>
      <c r="F485" s="134"/>
      <c r="G485" s="134"/>
      <c r="H485" s="134"/>
      <c r="I485" s="134"/>
    </row>
    <row r="486" spans="1:9" ht="12.75" customHeight="1" x14ac:dyDescent="0.45">
      <c r="A486" s="138"/>
      <c r="B486" s="138"/>
      <c r="C486" s="134"/>
      <c r="D486" s="134"/>
      <c r="E486" s="134"/>
      <c r="F486" s="134"/>
      <c r="G486" s="134"/>
      <c r="H486" s="134"/>
      <c r="I486" s="134"/>
    </row>
    <row r="487" spans="1:9" ht="12.75" customHeight="1" x14ac:dyDescent="0.45">
      <c r="A487" s="138"/>
      <c r="B487" s="138"/>
      <c r="C487" s="134"/>
      <c r="D487" s="134"/>
      <c r="E487" s="134"/>
      <c r="F487" s="134"/>
      <c r="G487" s="134"/>
      <c r="H487" s="134"/>
      <c r="I487" s="134"/>
    </row>
    <row r="488" spans="1:9" ht="12.75" customHeight="1" x14ac:dyDescent="0.45">
      <c r="A488" s="138"/>
      <c r="B488" s="138"/>
      <c r="C488" s="134"/>
      <c r="D488" s="134"/>
      <c r="E488" s="134"/>
      <c r="F488" s="134"/>
      <c r="G488" s="134"/>
      <c r="H488" s="134"/>
      <c r="I488" s="134"/>
    </row>
    <row r="489" spans="1:9" ht="12.75" customHeight="1" x14ac:dyDescent="0.45">
      <c r="A489" s="138"/>
      <c r="B489" s="138"/>
      <c r="C489" s="134"/>
      <c r="D489" s="134"/>
      <c r="E489" s="134"/>
      <c r="F489" s="134"/>
      <c r="G489" s="134"/>
      <c r="H489" s="134"/>
      <c r="I489" s="134"/>
    </row>
    <row r="490" spans="1:9" ht="12.75" customHeight="1" x14ac:dyDescent="0.45">
      <c r="A490" s="138"/>
      <c r="B490" s="138"/>
      <c r="C490" s="134"/>
      <c r="D490" s="134"/>
      <c r="E490" s="134"/>
      <c r="F490" s="134"/>
      <c r="G490" s="134"/>
      <c r="H490" s="134"/>
      <c r="I490" s="134"/>
    </row>
    <row r="491" spans="1:9" ht="12.75" customHeight="1" x14ac:dyDescent="0.45">
      <c r="A491" s="138"/>
      <c r="B491" s="138"/>
      <c r="C491" s="134"/>
      <c r="D491" s="134"/>
      <c r="E491" s="134"/>
      <c r="F491" s="134"/>
      <c r="G491" s="134"/>
      <c r="H491" s="134"/>
      <c r="I491" s="134"/>
    </row>
    <row r="492" spans="1:9" ht="12.75" customHeight="1" x14ac:dyDescent="0.45">
      <c r="A492" s="138"/>
      <c r="B492" s="138"/>
      <c r="C492" s="134"/>
      <c r="D492" s="134"/>
      <c r="E492" s="134"/>
      <c r="F492" s="134"/>
      <c r="G492" s="134"/>
      <c r="H492" s="134"/>
      <c r="I492" s="134"/>
    </row>
    <row r="493" spans="1:9" ht="12.75" customHeight="1" x14ac:dyDescent="0.45">
      <c r="A493" s="138"/>
      <c r="B493" s="138"/>
      <c r="C493" s="134"/>
      <c r="D493" s="134"/>
      <c r="E493" s="134"/>
      <c r="F493" s="134"/>
      <c r="G493" s="134"/>
      <c r="H493" s="134"/>
      <c r="I493" s="134"/>
    </row>
    <row r="494" spans="1:9" ht="12.75" customHeight="1" x14ac:dyDescent="0.45">
      <c r="A494" s="138"/>
      <c r="B494" s="138"/>
      <c r="C494" s="134"/>
      <c r="D494" s="134"/>
      <c r="E494" s="134"/>
      <c r="F494" s="134"/>
      <c r="G494" s="134"/>
      <c r="H494" s="134"/>
      <c r="I494" s="134"/>
    </row>
    <row r="495" spans="1:9" ht="12.75" customHeight="1" x14ac:dyDescent="0.45">
      <c r="A495" s="138"/>
      <c r="B495" s="138"/>
      <c r="C495" s="134"/>
      <c r="D495" s="134"/>
      <c r="E495" s="134"/>
      <c r="F495" s="134"/>
      <c r="G495" s="134"/>
      <c r="H495" s="134"/>
      <c r="I495" s="134"/>
    </row>
    <row r="496" spans="1:9" ht="12.75" customHeight="1" x14ac:dyDescent="0.45">
      <c r="A496" s="138"/>
      <c r="B496" s="138"/>
      <c r="C496" s="134"/>
      <c r="D496" s="134"/>
      <c r="E496" s="134"/>
      <c r="F496" s="134"/>
      <c r="G496" s="134"/>
      <c r="H496" s="134"/>
      <c r="I496" s="134"/>
    </row>
    <row r="497" spans="1:9" ht="12.75" customHeight="1" x14ac:dyDescent="0.45">
      <c r="A497" s="138"/>
      <c r="B497" s="138"/>
      <c r="C497" s="134"/>
      <c r="D497" s="134"/>
      <c r="E497" s="134"/>
      <c r="F497" s="134"/>
      <c r="G497" s="134"/>
      <c r="H497" s="134"/>
      <c r="I497" s="134"/>
    </row>
    <row r="498" spans="1:9" ht="12.75" customHeight="1" x14ac:dyDescent="0.45">
      <c r="A498" s="138"/>
      <c r="B498" s="138"/>
      <c r="C498" s="134"/>
      <c r="D498" s="134"/>
      <c r="E498" s="134"/>
      <c r="F498" s="134"/>
      <c r="G498" s="134"/>
      <c r="H498" s="134"/>
      <c r="I498" s="134"/>
    </row>
    <row r="499" spans="1:9" ht="12.75" customHeight="1" x14ac:dyDescent="0.45">
      <c r="A499" s="138"/>
      <c r="B499" s="138"/>
      <c r="C499" s="134"/>
      <c r="D499" s="134"/>
      <c r="E499" s="134"/>
      <c r="F499" s="134"/>
      <c r="G499" s="134"/>
      <c r="H499" s="134"/>
      <c r="I499" s="134"/>
    </row>
    <row r="500" spans="1:9" ht="12.75" customHeight="1" x14ac:dyDescent="0.45">
      <c r="A500" s="138"/>
      <c r="B500" s="138"/>
      <c r="C500" s="134"/>
      <c r="D500" s="134"/>
      <c r="E500" s="134"/>
      <c r="F500" s="134"/>
      <c r="G500" s="134"/>
      <c r="H500" s="134"/>
      <c r="I500" s="134"/>
    </row>
    <row r="501" spans="1:9" ht="12.75" customHeight="1" x14ac:dyDescent="0.45">
      <c r="A501" s="138"/>
      <c r="B501" s="138"/>
      <c r="C501" s="134"/>
      <c r="D501" s="134"/>
      <c r="E501" s="134"/>
      <c r="F501" s="134"/>
      <c r="G501" s="134"/>
      <c r="H501" s="134"/>
      <c r="I501" s="134"/>
    </row>
    <row r="502" spans="1:9" ht="12.75" customHeight="1" x14ac:dyDescent="0.45">
      <c r="A502" s="138"/>
      <c r="B502" s="138"/>
      <c r="C502" s="134"/>
      <c r="D502" s="134"/>
      <c r="E502" s="134"/>
      <c r="F502" s="134"/>
      <c r="G502" s="134"/>
      <c r="H502" s="134"/>
      <c r="I502" s="134"/>
    </row>
    <row r="503" spans="1:9" ht="12.75" customHeight="1" x14ac:dyDescent="0.45">
      <c r="A503" s="138"/>
      <c r="B503" s="138"/>
      <c r="C503" s="134"/>
      <c r="D503" s="134"/>
      <c r="E503" s="134"/>
      <c r="F503" s="134"/>
      <c r="G503" s="134"/>
      <c r="H503" s="134"/>
      <c r="I503" s="134"/>
    </row>
    <row r="504" spans="1:9" ht="12.75" customHeight="1" x14ac:dyDescent="0.45">
      <c r="A504" s="138"/>
      <c r="B504" s="138"/>
      <c r="C504" s="134"/>
      <c r="D504" s="134"/>
      <c r="E504" s="134"/>
      <c r="F504" s="134"/>
      <c r="G504" s="134"/>
      <c r="H504" s="134"/>
      <c r="I504" s="134"/>
    </row>
    <row r="505" spans="1:9" ht="12.75" customHeight="1" x14ac:dyDescent="0.45">
      <c r="A505" s="138"/>
      <c r="B505" s="138"/>
      <c r="C505" s="134"/>
      <c r="D505" s="134"/>
      <c r="E505" s="134"/>
      <c r="F505" s="134"/>
      <c r="G505" s="134"/>
      <c r="H505" s="134"/>
      <c r="I505" s="134"/>
    </row>
    <row r="506" spans="1:9" ht="12.75" customHeight="1" x14ac:dyDescent="0.45">
      <c r="A506" s="138"/>
      <c r="B506" s="138"/>
      <c r="C506" s="134"/>
      <c r="D506" s="134"/>
      <c r="E506" s="134"/>
      <c r="F506" s="134"/>
      <c r="G506" s="134"/>
      <c r="H506" s="134"/>
      <c r="I506" s="134"/>
    </row>
    <row r="507" spans="1:9" ht="12.75" customHeight="1" x14ac:dyDescent="0.45">
      <c r="A507" s="138"/>
      <c r="B507" s="138"/>
      <c r="C507" s="134"/>
      <c r="D507" s="134"/>
      <c r="E507" s="134"/>
      <c r="F507" s="134"/>
      <c r="G507" s="134"/>
      <c r="H507" s="134"/>
      <c r="I507" s="134"/>
    </row>
    <row r="508" spans="1:9" ht="12.75" customHeight="1" x14ac:dyDescent="0.45">
      <c r="A508" s="138"/>
      <c r="B508" s="138"/>
      <c r="C508" s="134"/>
      <c r="D508" s="134"/>
      <c r="E508" s="134"/>
      <c r="F508" s="134"/>
      <c r="G508" s="134"/>
      <c r="H508" s="134"/>
      <c r="I508" s="134"/>
    </row>
    <row r="509" spans="1:9" ht="12.75" customHeight="1" x14ac:dyDescent="0.45">
      <c r="A509" s="138"/>
      <c r="B509" s="138"/>
      <c r="C509" s="134"/>
      <c r="D509" s="134"/>
      <c r="E509" s="134"/>
      <c r="F509" s="134"/>
      <c r="G509" s="134"/>
      <c r="H509" s="134"/>
      <c r="I509" s="134"/>
    </row>
    <row r="510" spans="1:9" ht="12.75" customHeight="1" x14ac:dyDescent="0.45">
      <c r="A510" s="138"/>
      <c r="B510" s="138"/>
      <c r="C510" s="134"/>
      <c r="D510" s="134"/>
      <c r="E510" s="134"/>
      <c r="F510" s="134"/>
      <c r="G510" s="134"/>
      <c r="H510" s="134"/>
      <c r="I510" s="134"/>
    </row>
    <row r="511" spans="1:9" ht="12.75" customHeight="1" x14ac:dyDescent="0.45">
      <c r="A511" s="138"/>
      <c r="B511" s="138"/>
      <c r="C511" s="134"/>
      <c r="D511" s="134"/>
      <c r="E511" s="134"/>
      <c r="F511" s="134"/>
      <c r="G511" s="134"/>
      <c r="H511" s="134"/>
      <c r="I511" s="134"/>
    </row>
    <row r="512" spans="1:9" ht="12.75" customHeight="1" x14ac:dyDescent="0.45">
      <c r="A512" s="138"/>
      <c r="B512" s="138"/>
      <c r="C512" s="134"/>
      <c r="D512" s="134"/>
      <c r="E512" s="134"/>
      <c r="F512" s="134"/>
      <c r="G512" s="134"/>
      <c r="H512" s="134"/>
      <c r="I512" s="134"/>
    </row>
    <row r="513" spans="1:9" ht="12.75" customHeight="1" x14ac:dyDescent="0.45">
      <c r="A513" s="138"/>
      <c r="B513" s="138"/>
      <c r="C513" s="134"/>
      <c r="D513" s="134"/>
      <c r="E513" s="134"/>
      <c r="F513" s="134"/>
      <c r="G513" s="134"/>
      <c r="H513" s="134"/>
      <c r="I513" s="134"/>
    </row>
    <row r="514" spans="1:9" ht="12.75" customHeight="1" x14ac:dyDescent="0.45">
      <c r="A514" s="138"/>
      <c r="B514" s="138"/>
      <c r="C514" s="134"/>
      <c r="D514" s="134"/>
      <c r="E514" s="134"/>
      <c r="F514" s="134"/>
      <c r="G514" s="134"/>
      <c r="H514" s="134"/>
      <c r="I514" s="134"/>
    </row>
    <row r="515" spans="1:9" ht="12.75" customHeight="1" x14ac:dyDescent="0.45">
      <c r="A515" s="138"/>
      <c r="B515" s="138"/>
      <c r="C515" s="134"/>
      <c r="D515" s="134"/>
      <c r="E515" s="134"/>
      <c r="F515" s="134"/>
      <c r="G515" s="134"/>
      <c r="H515" s="134"/>
      <c r="I515" s="134"/>
    </row>
    <row r="516" spans="1:9" ht="12.75" customHeight="1" x14ac:dyDescent="0.45">
      <c r="A516" s="138"/>
      <c r="B516" s="138"/>
      <c r="C516" s="134"/>
      <c r="D516" s="134"/>
      <c r="E516" s="134"/>
      <c r="F516" s="134"/>
      <c r="G516" s="134"/>
      <c r="H516" s="134"/>
      <c r="I516" s="134"/>
    </row>
    <row r="517" spans="1:9" ht="12.75" customHeight="1" x14ac:dyDescent="0.45">
      <c r="A517" s="138"/>
      <c r="B517" s="138"/>
      <c r="C517" s="134"/>
      <c r="D517" s="134"/>
      <c r="E517" s="134"/>
      <c r="F517" s="134"/>
      <c r="G517" s="134"/>
      <c r="H517" s="134"/>
      <c r="I517" s="134"/>
    </row>
    <row r="518" spans="1:9" ht="12.75" customHeight="1" x14ac:dyDescent="0.45">
      <c r="A518" s="138"/>
      <c r="B518" s="138"/>
      <c r="C518" s="134"/>
      <c r="D518" s="134"/>
      <c r="E518" s="134"/>
      <c r="F518" s="134"/>
      <c r="G518" s="134"/>
      <c r="H518" s="134"/>
      <c r="I518" s="134"/>
    </row>
    <row r="519" spans="1:9" ht="12.75" customHeight="1" x14ac:dyDescent="0.45">
      <c r="A519" s="138"/>
      <c r="B519" s="138"/>
      <c r="C519" s="134"/>
      <c r="D519" s="134"/>
      <c r="E519" s="134"/>
      <c r="F519" s="134"/>
      <c r="G519" s="134"/>
      <c r="H519" s="134"/>
      <c r="I519" s="134"/>
    </row>
    <row r="520" spans="1:9" ht="12.75" customHeight="1" x14ac:dyDescent="0.45">
      <c r="A520" s="138"/>
      <c r="B520" s="138"/>
      <c r="C520" s="134"/>
      <c r="D520" s="134"/>
      <c r="E520" s="134"/>
      <c r="F520" s="134"/>
      <c r="G520" s="134"/>
      <c r="H520" s="134"/>
      <c r="I520" s="134"/>
    </row>
    <row r="521" spans="1:9" ht="12.75" customHeight="1" x14ac:dyDescent="0.45">
      <c r="A521" s="138"/>
      <c r="B521" s="138"/>
      <c r="C521" s="134"/>
      <c r="D521" s="134"/>
      <c r="E521" s="134"/>
      <c r="F521" s="134"/>
      <c r="G521" s="134"/>
      <c r="H521" s="134"/>
      <c r="I521" s="134"/>
    </row>
    <row r="522" spans="1:9" ht="12.75" customHeight="1" x14ac:dyDescent="0.45">
      <c r="A522" s="138"/>
      <c r="B522" s="138"/>
      <c r="C522" s="134"/>
      <c r="D522" s="134"/>
      <c r="E522" s="134"/>
      <c r="F522" s="134"/>
      <c r="G522" s="134"/>
      <c r="H522" s="134"/>
      <c r="I522" s="134"/>
    </row>
    <row r="523" spans="1:9" ht="12.75" customHeight="1" x14ac:dyDescent="0.45">
      <c r="A523" s="138"/>
      <c r="B523" s="138"/>
      <c r="C523" s="134"/>
      <c r="D523" s="134"/>
      <c r="E523" s="134"/>
      <c r="F523" s="134"/>
      <c r="G523" s="134"/>
      <c r="H523" s="134"/>
      <c r="I523" s="134"/>
    </row>
    <row r="524" spans="1:9" ht="12.75" customHeight="1" x14ac:dyDescent="0.45">
      <c r="A524" s="138"/>
      <c r="B524" s="138"/>
      <c r="C524" s="134"/>
      <c r="D524" s="134"/>
      <c r="E524" s="134"/>
      <c r="F524" s="134"/>
      <c r="G524" s="134"/>
      <c r="H524" s="134"/>
      <c r="I524" s="134"/>
    </row>
    <row r="525" spans="1:9" ht="12.75" customHeight="1" x14ac:dyDescent="0.45">
      <c r="A525" s="138"/>
      <c r="B525" s="138"/>
      <c r="C525" s="134"/>
      <c r="D525" s="134"/>
      <c r="E525" s="134"/>
      <c r="F525" s="134"/>
      <c r="G525" s="134"/>
      <c r="H525" s="134"/>
      <c r="I525" s="134"/>
    </row>
    <row r="526" spans="1:9" ht="12.75" customHeight="1" x14ac:dyDescent="0.45">
      <c r="A526" s="138"/>
      <c r="B526" s="138"/>
      <c r="C526" s="134"/>
      <c r="D526" s="134"/>
      <c r="E526" s="134"/>
      <c r="F526" s="134"/>
      <c r="G526" s="134"/>
      <c r="H526" s="134"/>
      <c r="I526" s="134"/>
    </row>
    <row r="527" spans="1:9" ht="12.75" customHeight="1" x14ac:dyDescent="0.45">
      <c r="A527" s="138"/>
      <c r="B527" s="138"/>
      <c r="C527" s="134"/>
      <c r="D527" s="134"/>
      <c r="E527" s="134"/>
      <c r="F527" s="134"/>
      <c r="G527" s="134"/>
      <c r="H527" s="134"/>
      <c r="I527" s="134"/>
    </row>
    <row r="528" spans="1:9" ht="12.75" customHeight="1" x14ac:dyDescent="0.45">
      <c r="A528" s="138"/>
      <c r="B528" s="138"/>
      <c r="C528" s="134"/>
      <c r="D528" s="134"/>
      <c r="E528" s="134"/>
      <c r="F528" s="134"/>
      <c r="G528" s="134"/>
      <c r="H528" s="134"/>
      <c r="I528" s="134"/>
    </row>
    <row r="529" spans="1:9" ht="12.75" customHeight="1" x14ac:dyDescent="0.45">
      <c r="A529" s="138"/>
      <c r="B529" s="138"/>
      <c r="C529" s="134"/>
      <c r="D529" s="134"/>
      <c r="E529" s="134"/>
      <c r="F529" s="134"/>
      <c r="G529" s="134"/>
      <c r="H529" s="134"/>
      <c r="I529" s="134"/>
    </row>
    <row r="530" spans="1:9" ht="12.75" customHeight="1" x14ac:dyDescent="0.45">
      <c r="A530" s="138"/>
      <c r="B530" s="138"/>
      <c r="C530" s="134"/>
      <c r="D530" s="134"/>
      <c r="E530" s="134"/>
      <c r="F530" s="134"/>
      <c r="G530" s="134"/>
      <c r="H530" s="134"/>
      <c r="I530" s="134"/>
    </row>
    <row r="531" spans="1:9" ht="12.75" customHeight="1" x14ac:dyDescent="0.45">
      <c r="A531" s="138"/>
      <c r="B531" s="138"/>
      <c r="C531" s="134"/>
      <c r="D531" s="134"/>
      <c r="E531" s="134"/>
      <c r="F531" s="134"/>
      <c r="G531" s="134"/>
      <c r="H531" s="134"/>
      <c r="I531" s="134"/>
    </row>
    <row r="532" spans="1:9" ht="12.75" customHeight="1" x14ac:dyDescent="0.45">
      <c r="A532" s="138"/>
      <c r="B532" s="138"/>
      <c r="C532" s="134"/>
      <c r="D532" s="134"/>
      <c r="E532" s="134"/>
      <c r="F532" s="134"/>
      <c r="G532" s="134"/>
      <c r="H532" s="134"/>
      <c r="I532" s="134"/>
    </row>
    <row r="533" spans="1:9" ht="12.75" customHeight="1" x14ac:dyDescent="0.45">
      <c r="A533" s="138"/>
      <c r="B533" s="138"/>
      <c r="C533" s="134"/>
      <c r="D533" s="134"/>
      <c r="E533" s="134"/>
      <c r="F533" s="134"/>
      <c r="G533" s="134"/>
      <c r="H533" s="134"/>
      <c r="I533" s="134"/>
    </row>
    <row r="534" spans="1:9" ht="12.75" customHeight="1" x14ac:dyDescent="0.45">
      <c r="A534" s="138"/>
      <c r="B534" s="138"/>
      <c r="C534" s="134"/>
      <c r="D534" s="134"/>
      <c r="E534" s="134"/>
      <c r="F534" s="134"/>
      <c r="G534" s="134"/>
      <c r="H534" s="134"/>
      <c r="I534" s="134"/>
    </row>
    <row r="535" spans="1:9" ht="12.75" customHeight="1" x14ac:dyDescent="0.45">
      <c r="A535" s="138"/>
      <c r="B535" s="138"/>
      <c r="C535" s="134"/>
      <c r="D535" s="134"/>
      <c r="E535" s="134"/>
      <c r="F535" s="134"/>
      <c r="G535" s="134"/>
      <c r="H535" s="134"/>
      <c r="I535" s="134"/>
    </row>
    <row r="536" spans="1:9" ht="12.75" customHeight="1" x14ac:dyDescent="0.45">
      <c r="A536" s="138"/>
      <c r="B536" s="138"/>
      <c r="C536" s="134"/>
      <c r="D536" s="134"/>
      <c r="E536" s="134"/>
      <c r="F536" s="134"/>
      <c r="G536" s="134"/>
      <c r="H536" s="134"/>
      <c r="I536" s="134"/>
    </row>
    <row r="537" spans="1:9" ht="12.75" customHeight="1" x14ac:dyDescent="0.45">
      <c r="A537" s="138"/>
      <c r="B537" s="138"/>
      <c r="C537" s="134"/>
      <c r="D537" s="134"/>
      <c r="E537" s="134"/>
      <c r="F537" s="134"/>
      <c r="G537" s="134"/>
      <c r="H537" s="134"/>
      <c r="I537" s="134"/>
    </row>
    <row r="538" spans="1:9" ht="12.75" customHeight="1" x14ac:dyDescent="0.45">
      <c r="A538" s="138"/>
      <c r="B538" s="138"/>
      <c r="C538" s="134"/>
      <c r="D538" s="134"/>
      <c r="E538" s="134"/>
      <c r="F538" s="134"/>
      <c r="G538" s="134"/>
      <c r="H538" s="134"/>
      <c r="I538" s="134"/>
    </row>
    <row r="539" spans="1:9" ht="12.75" customHeight="1" x14ac:dyDescent="0.45">
      <c r="A539" s="138"/>
      <c r="B539" s="138"/>
      <c r="C539" s="134"/>
      <c r="D539" s="134"/>
      <c r="E539" s="134"/>
      <c r="F539" s="134"/>
      <c r="G539" s="134"/>
      <c r="H539" s="134"/>
      <c r="I539" s="134"/>
    </row>
    <row r="540" spans="1:9" ht="12.75" customHeight="1" x14ac:dyDescent="0.45">
      <c r="A540" s="138"/>
      <c r="B540" s="138"/>
      <c r="C540" s="134"/>
      <c r="D540" s="134"/>
      <c r="E540" s="134"/>
      <c r="F540" s="134"/>
      <c r="G540" s="134"/>
      <c r="H540" s="134"/>
      <c r="I540" s="134"/>
    </row>
    <row r="541" spans="1:9" ht="12.75" customHeight="1" x14ac:dyDescent="0.45">
      <c r="A541" s="138"/>
      <c r="B541" s="138"/>
      <c r="C541" s="134"/>
      <c r="D541" s="134"/>
      <c r="E541" s="134"/>
      <c r="F541" s="134"/>
      <c r="G541" s="134"/>
      <c r="H541" s="134"/>
      <c r="I541" s="134"/>
    </row>
    <row r="542" spans="1:9" ht="12.75" customHeight="1" x14ac:dyDescent="0.45">
      <c r="A542" s="138"/>
      <c r="B542" s="138"/>
      <c r="C542" s="134"/>
      <c r="D542" s="134"/>
      <c r="E542" s="134"/>
      <c r="F542" s="134"/>
      <c r="G542" s="134"/>
      <c r="H542" s="134"/>
      <c r="I542" s="134"/>
    </row>
    <row r="543" spans="1:9" ht="12.75" customHeight="1" x14ac:dyDescent="0.45">
      <c r="A543" s="138"/>
      <c r="B543" s="138"/>
      <c r="C543" s="134"/>
      <c r="D543" s="134"/>
      <c r="E543" s="134"/>
      <c r="F543" s="134"/>
      <c r="G543" s="134"/>
      <c r="H543" s="134"/>
      <c r="I543" s="134"/>
    </row>
    <row r="544" spans="1:9" ht="12.75" customHeight="1" x14ac:dyDescent="0.45">
      <c r="A544" s="138"/>
      <c r="B544" s="138"/>
      <c r="C544" s="134"/>
      <c r="D544" s="134"/>
      <c r="E544" s="134"/>
      <c r="F544" s="134"/>
      <c r="G544" s="134"/>
      <c r="H544" s="134"/>
      <c r="I544" s="134"/>
    </row>
    <row r="545" spans="1:9" ht="12.75" customHeight="1" x14ac:dyDescent="0.45">
      <c r="A545" s="138"/>
      <c r="B545" s="138"/>
      <c r="C545" s="134"/>
      <c r="D545" s="134"/>
      <c r="E545" s="134"/>
      <c r="F545" s="134"/>
      <c r="G545" s="134"/>
      <c r="H545" s="134"/>
      <c r="I545" s="134"/>
    </row>
    <row r="546" spans="1:9" ht="12.75" customHeight="1" x14ac:dyDescent="0.45">
      <c r="A546" s="138"/>
      <c r="B546" s="138"/>
      <c r="C546" s="134"/>
      <c r="D546" s="134"/>
      <c r="E546" s="134"/>
      <c r="F546" s="134"/>
      <c r="G546" s="134"/>
      <c r="H546" s="134"/>
      <c r="I546" s="134"/>
    </row>
    <row r="547" spans="1:9" ht="12.75" customHeight="1" x14ac:dyDescent="0.45">
      <c r="A547" s="138"/>
      <c r="B547" s="138"/>
      <c r="C547" s="134"/>
      <c r="D547" s="134"/>
      <c r="E547" s="134"/>
      <c r="F547" s="134"/>
      <c r="G547" s="134"/>
      <c r="H547" s="134"/>
      <c r="I547" s="134"/>
    </row>
    <row r="548" spans="1:9" ht="12.75" customHeight="1" x14ac:dyDescent="0.45">
      <c r="A548" s="138"/>
      <c r="B548" s="138"/>
      <c r="C548" s="134"/>
      <c r="D548" s="134"/>
      <c r="E548" s="134"/>
      <c r="F548" s="134"/>
      <c r="G548" s="134"/>
      <c r="H548" s="134"/>
      <c r="I548" s="134"/>
    </row>
    <row r="549" spans="1:9" ht="12.75" customHeight="1" x14ac:dyDescent="0.45">
      <c r="A549" s="138"/>
      <c r="B549" s="138"/>
      <c r="C549" s="134"/>
      <c r="D549" s="134"/>
      <c r="E549" s="134"/>
      <c r="F549" s="134"/>
      <c r="G549" s="134"/>
      <c r="H549" s="134"/>
      <c r="I549" s="134"/>
    </row>
    <row r="550" spans="1:9" ht="12.75" customHeight="1" x14ac:dyDescent="0.45">
      <c r="A550" s="138"/>
      <c r="B550" s="138"/>
      <c r="C550" s="134"/>
      <c r="D550" s="134"/>
      <c r="E550" s="134"/>
      <c r="F550" s="134"/>
      <c r="G550" s="134"/>
      <c r="H550" s="134"/>
      <c r="I550" s="134"/>
    </row>
    <row r="551" spans="1:9" ht="12.75" customHeight="1" x14ac:dyDescent="0.45">
      <c r="A551" s="138"/>
      <c r="B551" s="138"/>
      <c r="C551" s="134"/>
      <c r="D551" s="134"/>
      <c r="E551" s="134"/>
      <c r="F551" s="134"/>
      <c r="G551" s="134"/>
      <c r="H551" s="134"/>
      <c r="I551" s="134"/>
    </row>
    <row r="552" spans="1:9" ht="12.75" customHeight="1" x14ac:dyDescent="0.45">
      <c r="A552" s="138"/>
      <c r="B552" s="138"/>
      <c r="C552" s="134"/>
      <c r="D552" s="134"/>
      <c r="E552" s="134"/>
      <c r="F552" s="134"/>
      <c r="G552" s="134"/>
      <c r="H552" s="134"/>
      <c r="I552" s="134"/>
    </row>
    <row r="553" spans="1:9" ht="12.75" customHeight="1" x14ac:dyDescent="0.45">
      <c r="A553" s="138"/>
      <c r="B553" s="138"/>
      <c r="C553" s="134"/>
      <c r="D553" s="134"/>
      <c r="E553" s="134"/>
      <c r="F553" s="134"/>
      <c r="G553" s="134"/>
      <c r="H553" s="134"/>
      <c r="I553" s="134"/>
    </row>
    <row r="554" spans="1:9" ht="12.75" customHeight="1" x14ac:dyDescent="0.45">
      <c r="A554" s="138"/>
      <c r="B554" s="138"/>
      <c r="C554" s="134"/>
      <c r="D554" s="134"/>
      <c r="E554" s="134"/>
      <c r="F554" s="134"/>
      <c r="G554" s="134"/>
      <c r="H554" s="134"/>
      <c r="I554" s="134"/>
    </row>
    <row r="555" spans="1:9" ht="12.75" customHeight="1" x14ac:dyDescent="0.45">
      <c r="A555" s="138"/>
      <c r="B555" s="138"/>
      <c r="C555" s="134"/>
      <c r="D555" s="134"/>
      <c r="E555" s="134"/>
      <c r="F555" s="134"/>
      <c r="G555" s="134"/>
      <c r="H555" s="134"/>
      <c r="I555" s="134"/>
    </row>
    <row r="556" spans="1:9" ht="12.75" customHeight="1" x14ac:dyDescent="0.45">
      <c r="A556" s="138"/>
      <c r="B556" s="138"/>
      <c r="C556" s="134"/>
      <c r="D556" s="134"/>
      <c r="E556" s="134"/>
      <c r="F556" s="134"/>
      <c r="G556" s="134"/>
      <c r="H556" s="134"/>
      <c r="I556" s="134"/>
    </row>
    <row r="557" spans="1:9" ht="12.75" customHeight="1" x14ac:dyDescent="0.45">
      <c r="A557" s="138"/>
      <c r="B557" s="138"/>
      <c r="C557" s="134"/>
      <c r="D557" s="134"/>
      <c r="E557" s="134"/>
      <c r="F557" s="134"/>
      <c r="G557" s="134"/>
      <c r="H557" s="134"/>
      <c r="I557" s="134"/>
    </row>
    <row r="558" spans="1:9" ht="12.75" customHeight="1" x14ac:dyDescent="0.45">
      <c r="A558" s="138"/>
      <c r="B558" s="138"/>
      <c r="C558" s="134"/>
      <c r="D558" s="134"/>
      <c r="E558" s="134"/>
      <c r="F558" s="134"/>
      <c r="G558" s="134"/>
      <c r="H558" s="134"/>
      <c r="I558" s="134"/>
    </row>
    <row r="559" spans="1:9" ht="12.75" customHeight="1" x14ac:dyDescent="0.45">
      <c r="A559" s="138"/>
      <c r="B559" s="138"/>
      <c r="C559" s="134"/>
      <c r="D559" s="134"/>
      <c r="E559" s="134"/>
      <c r="F559" s="134"/>
      <c r="G559" s="134"/>
      <c r="H559" s="134"/>
      <c r="I559" s="134"/>
    </row>
    <row r="560" spans="1:9" ht="12.75" customHeight="1" x14ac:dyDescent="0.45">
      <c r="A560" s="138"/>
      <c r="B560" s="138"/>
      <c r="C560" s="134"/>
      <c r="D560" s="134"/>
      <c r="E560" s="134"/>
      <c r="F560" s="134"/>
      <c r="G560" s="134"/>
      <c r="H560" s="134"/>
      <c r="I560" s="134"/>
    </row>
    <row r="561" spans="1:9" ht="12.75" customHeight="1" x14ac:dyDescent="0.45">
      <c r="A561" s="138"/>
      <c r="B561" s="138"/>
      <c r="C561" s="134"/>
      <c r="D561" s="134"/>
      <c r="E561" s="134"/>
      <c r="F561" s="134"/>
      <c r="G561" s="134"/>
      <c r="H561" s="134"/>
      <c r="I561" s="134"/>
    </row>
    <row r="562" spans="1:9" ht="12.75" customHeight="1" x14ac:dyDescent="0.45">
      <c r="A562" s="138"/>
      <c r="B562" s="138"/>
      <c r="C562" s="134"/>
      <c r="D562" s="134"/>
      <c r="E562" s="134"/>
      <c r="F562" s="134"/>
      <c r="G562" s="134"/>
      <c r="H562" s="134"/>
      <c r="I562" s="134"/>
    </row>
    <row r="563" spans="1:9" ht="12.75" customHeight="1" x14ac:dyDescent="0.45">
      <c r="A563" s="138"/>
      <c r="B563" s="138"/>
      <c r="C563" s="134"/>
      <c r="D563" s="134"/>
      <c r="E563" s="134"/>
      <c r="F563" s="134"/>
      <c r="G563" s="134"/>
      <c r="H563" s="134"/>
      <c r="I563" s="134"/>
    </row>
    <row r="564" spans="1:9" ht="12.75" customHeight="1" x14ac:dyDescent="0.45">
      <c r="A564" s="138"/>
      <c r="B564" s="138"/>
      <c r="C564" s="134"/>
      <c r="D564" s="134"/>
      <c r="E564" s="134"/>
      <c r="F564" s="134"/>
      <c r="G564" s="134"/>
      <c r="H564" s="134"/>
      <c r="I564" s="134"/>
    </row>
    <row r="565" spans="1:9" ht="12.75" customHeight="1" x14ac:dyDescent="0.45">
      <c r="A565" s="138"/>
      <c r="B565" s="138"/>
      <c r="C565" s="134"/>
      <c r="D565" s="134"/>
      <c r="E565" s="134"/>
      <c r="F565" s="134"/>
      <c r="G565" s="134"/>
      <c r="H565" s="134"/>
      <c r="I565" s="134"/>
    </row>
    <row r="566" spans="1:9" ht="12.75" customHeight="1" x14ac:dyDescent="0.45">
      <c r="A566" s="138"/>
      <c r="B566" s="138"/>
      <c r="C566" s="134"/>
      <c r="D566" s="134"/>
      <c r="E566" s="134"/>
      <c r="F566" s="134"/>
      <c r="G566" s="134"/>
      <c r="H566" s="134"/>
      <c r="I566" s="134"/>
    </row>
    <row r="567" spans="1:9" ht="12.75" customHeight="1" x14ac:dyDescent="0.45">
      <c r="A567" s="138"/>
      <c r="B567" s="138"/>
      <c r="C567" s="134"/>
      <c r="D567" s="134"/>
      <c r="E567" s="134"/>
      <c r="F567" s="134"/>
      <c r="G567" s="134"/>
      <c r="H567" s="134"/>
      <c r="I567" s="134"/>
    </row>
    <row r="568" spans="1:9" ht="12.75" customHeight="1" x14ac:dyDescent="0.45">
      <c r="A568" s="138"/>
      <c r="B568" s="138"/>
      <c r="C568" s="134"/>
      <c r="D568" s="134"/>
      <c r="E568" s="134"/>
      <c r="F568" s="134"/>
      <c r="G568" s="134"/>
      <c r="H568" s="134"/>
      <c r="I568" s="134"/>
    </row>
    <row r="569" spans="1:9" ht="12.75" customHeight="1" x14ac:dyDescent="0.45">
      <c r="A569" s="138"/>
      <c r="B569" s="138"/>
      <c r="C569" s="134"/>
      <c r="D569" s="134"/>
      <c r="E569" s="134"/>
      <c r="F569" s="134"/>
      <c r="G569" s="134"/>
      <c r="H569" s="134"/>
      <c r="I569" s="134"/>
    </row>
    <row r="570" spans="1:9" ht="12.75" customHeight="1" x14ac:dyDescent="0.45">
      <c r="A570" s="138"/>
      <c r="B570" s="138"/>
      <c r="C570" s="134"/>
      <c r="D570" s="134"/>
      <c r="E570" s="134"/>
      <c r="F570" s="134"/>
      <c r="G570" s="134"/>
      <c r="H570" s="134"/>
      <c r="I570" s="134"/>
    </row>
    <row r="571" spans="1:9" ht="12.75" customHeight="1" x14ac:dyDescent="0.45">
      <c r="A571" s="138"/>
      <c r="B571" s="138"/>
      <c r="C571" s="134"/>
      <c r="D571" s="134"/>
      <c r="E571" s="134"/>
      <c r="F571" s="134"/>
      <c r="G571" s="134"/>
      <c r="H571" s="134"/>
      <c r="I571" s="134"/>
    </row>
    <row r="572" spans="1:9" ht="12.75" customHeight="1" x14ac:dyDescent="0.45">
      <c r="A572" s="138"/>
      <c r="B572" s="138"/>
      <c r="C572" s="134"/>
      <c r="D572" s="134"/>
      <c r="E572" s="134"/>
      <c r="F572" s="134"/>
      <c r="G572" s="134"/>
      <c r="H572" s="134"/>
      <c r="I572" s="134"/>
    </row>
    <row r="573" spans="1:9" ht="12.75" customHeight="1" x14ac:dyDescent="0.45">
      <c r="A573" s="138"/>
      <c r="B573" s="138"/>
      <c r="C573" s="134"/>
      <c r="D573" s="134"/>
      <c r="E573" s="134"/>
      <c r="F573" s="134"/>
      <c r="G573" s="134"/>
      <c r="H573" s="134"/>
      <c r="I573" s="134"/>
    </row>
    <row r="574" spans="1:9" ht="12.75" customHeight="1" x14ac:dyDescent="0.45">
      <c r="A574" s="138"/>
      <c r="B574" s="138"/>
      <c r="C574" s="134"/>
      <c r="D574" s="134"/>
      <c r="E574" s="134"/>
      <c r="F574" s="134"/>
      <c r="G574" s="134"/>
      <c r="H574" s="134"/>
      <c r="I574" s="134"/>
    </row>
    <row r="575" spans="1:9" ht="12.75" customHeight="1" x14ac:dyDescent="0.45">
      <c r="A575" s="138"/>
      <c r="B575" s="138"/>
      <c r="C575" s="134"/>
      <c r="D575" s="134"/>
      <c r="E575" s="134"/>
      <c r="F575" s="134"/>
      <c r="G575" s="134"/>
      <c r="H575" s="134"/>
      <c r="I575" s="134"/>
    </row>
    <row r="576" spans="1:9" ht="12.75" customHeight="1" x14ac:dyDescent="0.45">
      <c r="A576" s="138"/>
      <c r="B576" s="138"/>
      <c r="C576" s="134"/>
      <c r="D576" s="134"/>
      <c r="E576" s="134"/>
      <c r="F576" s="134"/>
      <c r="G576" s="134"/>
      <c r="H576" s="134"/>
      <c r="I576" s="134"/>
    </row>
    <row r="577" spans="1:9" ht="12.75" customHeight="1" x14ac:dyDescent="0.45">
      <c r="A577" s="138"/>
      <c r="B577" s="138"/>
      <c r="C577" s="134"/>
      <c r="D577" s="134"/>
      <c r="E577" s="134"/>
      <c r="F577" s="134"/>
      <c r="G577" s="134"/>
      <c r="H577" s="134"/>
      <c r="I577" s="134"/>
    </row>
    <row r="578" spans="1:9" ht="12.75" customHeight="1" x14ac:dyDescent="0.45">
      <c r="A578" s="138"/>
      <c r="B578" s="138"/>
      <c r="C578" s="134"/>
      <c r="D578" s="134"/>
      <c r="E578" s="134"/>
      <c r="F578" s="134"/>
      <c r="G578" s="134"/>
      <c r="H578" s="134"/>
      <c r="I578" s="134"/>
    </row>
    <row r="579" spans="1:9" ht="12.75" customHeight="1" x14ac:dyDescent="0.45">
      <c r="A579" s="138"/>
      <c r="B579" s="138"/>
      <c r="C579" s="134"/>
      <c r="D579" s="134"/>
      <c r="E579" s="134"/>
      <c r="F579" s="134"/>
      <c r="G579" s="134"/>
      <c r="H579" s="134"/>
      <c r="I579" s="134"/>
    </row>
    <row r="580" spans="1:9" ht="12.75" customHeight="1" x14ac:dyDescent="0.45">
      <c r="A580" s="138"/>
      <c r="B580" s="138"/>
      <c r="C580" s="134"/>
      <c r="D580" s="134"/>
      <c r="E580" s="134"/>
      <c r="F580" s="134"/>
      <c r="G580" s="134"/>
      <c r="H580" s="134"/>
      <c r="I580" s="134"/>
    </row>
    <row r="581" spans="1:9" ht="12.75" customHeight="1" x14ac:dyDescent="0.45">
      <c r="A581" s="138"/>
      <c r="B581" s="138"/>
      <c r="C581" s="134"/>
      <c r="D581" s="134"/>
      <c r="E581" s="134"/>
      <c r="F581" s="134"/>
      <c r="G581" s="134"/>
      <c r="H581" s="134"/>
      <c r="I581" s="134"/>
    </row>
    <row r="582" spans="1:9" ht="12.75" customHeight="1" x14ac:dyDescent="0.45">
      <c r="A582" s="138"/>
      <c r="B582" s="138"/>
      <c r="C582" s="134"/>
      <c r="D582" s="134"/>
      <c r="E582" s="134"/>
      <c r="F582" s="134"/>
      <c r="G582" s="134"/>
      <c r="H582" s="134"/>
      <c r="I582" s="134"/>
    </row>
    <row r="583" spans="1:9" ht="12.75" customHeight="1" x14ac:dyDescent="0.45">
      <c r="A583" s="138"/>
      <c r="B583" s="138"/>
      <c r="C583" s="134"/>
      <c r="D583" s="134"/>
      <c r="E583" s="134"/>
      <c r="F583" s="134"/>
      <c r="G583" s="134"/>
      <c r="H583" s="134"/>
      <c r="I583" s="134"/>
    </row>
    <row r="584" spans="1:9" ht="12.75" customHeight="1" x14ac:dyDescent="0.45">
      <c r="A584" s="138"/>
      <c r="B584" s="138"/>
      <c r="C584" s="134"/>
      <c r="D584" s="134"/>
      <c r="E584" s="134"/>
      <c r="F584" s="134"/>
      <c r="G584" s="134"/>
      <c r="H584" s="134"/>
      <c r="I584" s="134"/>
    </row>
    <row r="585" spans="1:9" ht="12.75" customHeight="1" x14ac:dyDescent="0.45">
      <c r="A585" s="138"/>
      <c r="B585" s="138"/>
      <c r="C585" s="134"/>
      <c r="D585" s="134"/>
      <c r="E585" s="134"/>
      <c r="F585" s="134"/>
      <c r="G585" s="134"/>
      <c r="H585" s="134"/>
      <c r="I585" s="134"/>
    </row>
    <row r="586" spans="1:9" ht="12.75" customHeight="1" x14ac:dyDescent="0.45">
      <c r="A586" s="138"/>
      <c r="B586" s="138"/>
      <c r="C586" s="134"/>
      <c r="D586" s="134"/>
      <c r="E586" s="134"/>
      <c r="F586" s="134"/>
      <c r="G586" s="134"/>
      <c r="H586" s="134"/>
      <c r="I586" s="134"/>
    </row>
    <row r="587" spans="1:9" ht="12.75" customHeight="1" x14ac:dyDescent="0.45">
      <c r="A587" s="138"/>
      <c r="B587" s="138"/>
      <c r="C587" s="134"/>
      <c r="D587" s="134"/>
      <c r="E587" s="134"/>
      <c r="F587" s="134"/>
      <c r="G587" s="134"/>
      <c r="H587" s="134"/>
      <c r="I587" s="134"/>
    </row>
    <row r="588" spans="1:9" ht="12.75" customHeight="1" x14ac:dyDescent="0.45">
      <c r="A588" s="138"/>
      <c r="B588" s="138"/>
      <c r="C588" s="134"/>
      <c r="D588" s="134"/>
      <c r="E588" s="134"/>
      <c r="F588" s="134"/>
      <c r="G588" s="134"/>
      <c r="H588" s="134"/>
      <c r="I588" s="134"/>
    </row>
    <row r="589" spans="1:9" ht="12.75" customHeight="1" x14ac:dyDescent="0.45">
      <c r="A589" s="138"/>
      <c r="B589" s="138"/>
      <c r="C589" s="134"/>
      <c r="D589" s="134"/>
      <c r="E589" s="134"/>
      <c r="F589" s="134"/>
      <c r="G589" s="134"/>
      <c r="H589" s="134"/>
      <c r="I589" s="134"/>
    </row>
    <row r="590" spans="1:9" ht="12.75" customHeight="1" x14ac:dyDescent="0.45">
      <c r="A590" s="138"/>
      <c r="B590" s="138"/>
      <c r="C590" s="134"/>
      <c r="D590" s="134"/>
      <c r="E590" s="134"/>
      <c r="F590" s="134"/>
      <c r="G590" s="134"/>
      <c r="H590" s="134"/>
      <c r="I590" s="134"/>
    </row>
    <row r="591" spans="1:9" ht="12.75" customHeight="1" x14ac:dyDescent="0.45">
      <c r="A591" s="138"/>
      <c r="B591" s="138"/>
      <c r="C591" s="134"/>
      <c r="D591" s="134"/>
      <c r="E591" s="134"/>
      <c r="F591" s="134"/>
      <c r="G591" s="134"/>
      <c r="H591" s="134"/>
      <c r="I591" s="134"/>
    </row>
    <row r="592" spans="1:9" ht="12.75" customHeight="1" x14ac:dyDescent="0.45">
      <c r="A592" s="138"/>
      <c r="B592" s="138"/>
      <c r="C592" s="134"/>
      <c r="D592" s="134"/>
      <c r="E592" s="134"/>
      <c r="F592" s="134"/>
      <c r="G592" s="134"/>
      <c r="H592" s="134"/>
      <c r="I592" s="134"/>
    </row>
    <row r="593" spans="1:9" ht="12.75" customHeight="1" x14ac:dyDescent="0.45">
      <c r="A593" s="138"/>
      <c r="B593" s="138"/>
      <c r="C593" s="134"/>
      <c r="D593" s="134"/>
      <c r="E593" s="134"/>
      <c r="F593" s="134"/>
      <c r="G593" s="134"/>
      <c r="H593" s="134"/>
      <c r="I593" s="134"/>
    </row>
    <row r="594" spans="1:9" ht="12.75" customHeight="1" x14ac:dyDescent="0.45">
      <c r="A594" s="138"/>
      <c r="B594" s="138"/>
      <c r="C594" s="134"/>
      <c r="D594" s="134"/>
      <c r="E594" s="134"/>
      <c r="F594" s="134"/>
      <c r="G594" s="134"/>
      <c r="H594" s="134"/>
      <c r="I594" s="134"/>
    </row>
    <row r="595" spans="1:9" ht="12.75" customHeight="1" x14ac:dyDescent="0.45">
      <c r="A595" s="138"/>
      <c r="B595" s="138"/>
      <c r="C595" s="134"/>
      <c r="D595" s="134"/>
      <c r="E595" s="134"/>
      <c r="F595" s="134"/>
      <c r="G595" s="134"/>
      <c r="H595" s="134"/>
      <c r="I595" s="134"/>
    </row>
    <row r="596" spans="1:9" ht="12.75" customHeight="1" x14ac:dyDescent="0.45">
      <c r="A596" s="138"/>
      <c r="B596" s="138"/>
      <c r="C596" s="134"/>
      <c r="D596" s="134"/>
      <c r="E596" s="134"/>
      <c r="F596" s="134"/>
      <c r="G596" s="134"/>
      <c r="H596" s="134"/>
      <c r="I596" s="134"/>
    </row>
    <row r="597" spans="1:9" ht="12.75" customHeight="1" x14ac:dyDescent="0.45">
      <c r="A597" s="138"/>
      <c r="B597" s="138"/>
      <c r="C597" s="134"/>
      <c r="D597" s="134"/>
      <c r="E597" s="134"/>
      <c r="F597" s="134"/>
      <c r="G597" s="134"/>
      <c r="H597" s="134"/>
      <c r="I597" s="134"/>
    </row>
    <row r="598" spans="1:9" ht="12.75" customHeight="1" x14ac:dyDescent="0.45">
      <c r="A598" s="138"/>
      <c r="B598" s="138"/>
      <c r="C598" s="134"/>
      <c r="D598" s="134"/>
      <c r="E598" s="134"/>
      <c r="F598" s="134"/>
      <c r="G598" s="134"/>
      <c r="H598" s="134"/>
      <c r="I598" s="134"/>
    </row>
    <row r="599" spans="1:9" ht="12.75" customHeight="1" x14ac:dyDescent="0.45">
      <c r="A599" s="138"/>
      <c r="B599" s="138"/>
      <c r="C599" s="134"/>
      <c r="D599" s="134"/>
      <c r="E599" s="134"/>
      <c r="F599" s="134"/>
      <c r="G599" s="134"/>
      <c r="H599" s="134"/>
      <c r="I599" s="134"/>
    </row>
    <row r="600" spans="1:9" ht="12.75" customHeight="1" x14ac:dyDescent="0.45">
      <c r="A600" s="138"/>
      <c r="B600" s="138"/>
      <c r="C600" s="134"/>
      <c r="D600" s="134"/>
      <c r="E600" s="134"/>
      <c r="F600" s="134"/>
      <c r="G600" s="134"/>
      <c r="H600" s="134"/>
      <c r="I600" s="134"/>
    </row>
    <row r="601" spans="1:9" ht="12.75" customHeight="1" x14ac:dyDescent="0.45">
      <c r="A601" s="138"/>
      <c r="B601" s="138"/>
      <c r="C601" s="134"/>
      <c r="D601" s="134"/>
      <c r="E601" s="134"/>
      <c r="F601" s="134"/>
      <c r="G601" s="134"/>
      <c r="H601" s="134"/>
      <c r="I601" s="134"/>
    </row>
    <row r="602" spans="1:9" ht="12.75" customHeight="1" x14ac:dyDescent="0.45">
      <c r="A602" s="138"/>
      <c r="B602" s="138"/>
      <c r="C602" s="134"/>
      <c r="D602" s="134"/>
      <c r="E602" s="134"/>
      <c r="F602" s="134"/>
      <c r="G602" s="134"/>
      <c r="H602" s="134"/>
      <c r="I602" s="134"/>
    </row>
    <row r="603" spans="1:9" ht="12.75" customHeight="1" x14ac:dyDescent="0.45">
      <c r="A603" s="138"/>
      <c r="B603" s="138"/>
      <c r="C603" s="134"/>
      <c r="D603" s="134"/>
      <c r="E603" s="134"/>
      <c r="F603" s="134"/>
      <c r="G603" s="134"/>
      <c r="H603" s="134"/>
      <c r="I603" s="134"/>
    </row>
    <row r="604" spans="1:9" ht="12.75" customHeight="1" x14ac:dyDescent="0.45">
      <c r="A604" s="138"/>
      <c r="B604" s="138"/>
      <c r="C604" s="134"/>
      <c r="D604" s="134"/>
      <c r="E604" s="134"/>
      <c r="F604" s="134"/>
      <c r="G604" s="134"/>
      <c r="H604" s="134"/>
      <c r="I604" s="134"/>
    </row>
    <row r="605" spans="1:9" ht="12.75" customHeight="1" x14ac:dyDescent="0.45">
      <c r="A605" s="138"/>
      <c r="B605" s="138"/>
      <c r="C605" s="134"/>
      <c r="D605" s="134"/>
      <c r="E605" s="134"/>
      <c r="F605" s="134"/>
      <c r="G605" s="134"/>
      <c r="H605" s="134"/>
      <c r="I605" s="134"/>
    </row>
    <row r="606" spans="1:9" ht="12.75" customHeight="1" x14ac:dyDescent="0.45">
      <c r="A606" s="138"/>
      <c r="B606" s="138"/>
      <c r="C606" s="134"/>
      <c r="D606" s="134"/>
      <c r="E606" s="134"/>
      <c r="F606" s="134"/>
      <c r="G606" s="134"/>
      <c r="H606" s="134"/>
      <c r="I606" s="134"/>
    </row>
    <row r="607" spans="1:9" ht="12.75" customHeight="1" x14ac:dyDescent="0.45">
      <c r="A607" s="138"/>
      <c r="B607" s="138"/>
      <c r="C607" s="134"/>
      <c r="D607" s="134"/>
      <c r="E607" s="134"/>
      <c r="F607" s="134"/>
      <c r="G607" s="134"/>
      <c r="H607" s="134"/>
      <c r="I607" s="134"/>
    </row>
    <row r="608" spans="1:9" ht="12.75" customHeight="1" x14ac:dyDescent="0.45">
      <c r="A608" s="138"/>
      <c r="B608" s="138"/>
      <c r="C608" s="134"/>
      <c r="D608" s="134"/>
      <c r="E608" s="134"/>
      <c r="F608" s="134"/>
      <c r="G608" s="134"/>
      <c r="H608" s="134"/>
      <c r="I608" s="134"/>
    </row>
    <row r="609" spans="1:9" ht="12.75" customHeight="1" x14ac:dyDescent="0.45">
      <c r="A609" s="138"/>
      <c r="B609" s="138"/>
      <c r="C609" s="134"/>
      <c r="D609" s="134"/>
      <c r="E609" s="134"/>
      <c r="F609" s="134"/>
      <c r="G609" s="134"/>
      <c r="H609" s="134"/>
      <c r="I609" s="134"/>
    </row>
    <row r="610" spans="1:9" ht="12.75" customHeight="1" x14ac:dyDescent="0.45">
      <c r="A610" s="138"/>
      <c r="B610" s="138"/>
      <c r="C610" s="134"/>
      <c r="D610" s="134"/>
      <c r="E610" s="134"/>
      <c r="F610" s="134"/>
      <c r="G610" s="134"/>
      <c r="H610" s="134"/>
      <c r="I610" s="134"/>
    </row>
    <row r="611" spans="1:9" ht="12.75" customHeight="1" x14ac:dyDescent="0.45">
      <c r="A611" s="138"/>
      <c r="B611" s="138"/>
      <c r="C611" s="134"/>
      <c r="D611" s="134"/>
      <c r="E611" s="134"/>
      <c r="F611" s="134"/>
      <c r="G611" s="134"/>
      <c r="H611" s="134"/>
      <c r="I611" s="134"/>
    </row>
    <row r="612" spans="1:9" ht="12.75" customHeight="1" x14ac:dyDescent="0.45">
      <c r="A612" s="138"/>
      <c r="B612" s="138"/>
      <c r="C612" s="134"/>
      <c r="D612" s="134"/>
      <c r="E612" s="134"/>
      <c r="F612" s="134"/>
      <c r="G612" s="134"/>
      <c r="H612" s="134"/>
      <c r="I612" s="134"/>
    </row>
    <row r="613" spans="1:9" ht="12.75" customHeight="1" x14ac:dyDescent="0.45">
      <c r="A613" s="138"/>
      <c r="B613" s="138"/>
      <c r="C613" s="134"/>
      <c r="D613" s="134"/>
      <c r="E613" s="134"/>
      <c r="F613" s="134"/>
      <c r="G613" s="134"/>
      <c r="H613" s="134"/>
      <c r="I613" s="134"/>
    </row>
    <row r="614" spans="1:9" ht="12.75" customHeight="1" x14ac:dyDescent="0.45">
      <c r="A614" s="138"/>
      <c r="B614" s="138"/>
      <c r="C614" s="134"/>
      <c r="D614" s="134"/>
      <c r="E614" s="134"/>
      <c r="F614" s="134"/>
      <c r="G614" s="134"/>
      <c r="H614" s="134"/>
      <c r="I614" s="134"/>
    </row>
    <row r="615" spans="1:9" ht="12.75" customHeight="1" x14ac:dyDescent="0.45">
      <c r="A615" s="138"/>
      <c r="B615" s="138"/>
      <c r="C615" s="134"/>
      <c r="D615" s="134"/>
      <c r="E615" s="134"/>
      <c r="F615" s="134"/>
      <c r="G615" s="134"/>
      <c r="H615" s="134"/>
      <c r="I615" s="134"/>
    </row>
    <row r="616" spans="1:9" ht="12.75" customHeight="1" x14ac:dyDescent="0.45">
      <c r="A616" s="138"/>
      <c r="B616" s="138"/>
      <c r="C616" s="134"/>
      <c r="D616" s="134"/>
      <c r="E616" s="134"/>
      <c r="F616" s="134"/>
      <c r="G616" s="134"/>
      <c r="H616" s="134"/>
      <c r="I616" s="134"/>
    </row>
    <row r="617" spans="1:9" ht="12.75" customHeight="1" x14ac:dyDescent="0.45">
      <c r="A617" s="138"/>
      <c r="B617" s="138"/>
      <c r="C617" s="134"/>
      <c r="D617" s="134"/>
      <c r="E617" s="134"/>
      <c r="F617" s="134"/>
      <c r="G617" s="134"/>
      <c r="H617" s="134"/>
      <c r="I617" s="134"/>
    </row>
    <row r="618" spans="1:9" ht="12.75" customHeight="1" x14ac:dyDescent="0.45">
      <c r="A618" s="138"/>
      <c r="B618" s="138"/>
      <c r="C618" s="134"/>
      <c r="D618" s="134"/>
      <c r="E618" s="134"/>
      <c r="F618" s="134"/>
      <c r="G618" s="134"/>
      <c r="H618" s="134"/>
      <c r="I618" s="134"/>
    </row>
    <row r="619" spans="1:9" ht="12.75" customHeight="1" x14ac:dyDescent="0.45">
      <c r="A619" s="138"/>
      <c r="B619" s="138"/>
      <c r="C619" s="134"/>
      <c r="D619" s="134"/>
      <c r="E619" s="134"/>
      <c r="F619" s="134"/>
      <c r="G619" s="134"/>
      <c r="H619" s="134"/>
      <c r="I619" s="134"/>
    </row>
    <row r="620" spans="1:9" ht="12.75" customHeight="1" x14ac:dyDescent="0.45">
      <c r="A620" s="138"/>
      <c r="B620" s="138"/>
      <c r="C620" s="134"/>
      <c r="D620" s="134"/>
      <c r="E620" s="134"/>
      <c r="F620" s="134"/>
      <c r="G620" s="134"/>
      <c r="H620" s="134"/>
      <c r="I620" s="134"/>
    </row>
    <row r="621" spans="1:9" ht="12.75" customHeight="1" x14ac:dyDescent="0.45">
      <c r="A621" s="138"/>
      <c r="B621" s="138"/>
      <c r="C621" s="134"/>
      <c r="D621" s="134"/>
      <c r="E621" s="134"/>
      <c r="F621" s="134"/>
      <c r="G621" s="134"/>
      <c r="H621" s="134"/>
      <c r="I621" s="134"/>
    </row>
    <row r="622" spans="1:9" ht="12.75" customHeight="1" x14ac:dyDescent="0.45">
      <c r="A622" s="138"/>
      <c r="B622" s="138"/>
      <c r="C622" s="134"/>
      <c r="D622" s="134"/>
      <c r="E622" s="134"/>
      <c r="F622" s="134"/>
      <c r="G622" s="134"/>
      <c r="H622" s="134"/>
      <c r="I622" s="134"/>
    </row>
    <row r="623" spans="1:9" ht="12.75" customHeight="1" x14ac:dyDescent="0.45">
      <c r="A623" s="138"/>
      <c r="B623" s="138"/>
      <c r="C623" s="134"/>
      <c r="D623" s="134"/>
      <c r="E623" s="134"/>
      <c r="F623" s="134"/>
      <c r="G623" s="134"/>
      <c r="H623" s="134"/>
      <c r="I623" s="134"/>
    </row>
    <row r="624" spans="1:9" ht="12.75" customHeight="1" x14ac:dyDescent="0.45">
      <c r="A624" s="138"/>
      <c r="B624" s="138"/>
      <c r="C624" s="134"/>
      <c r="D624" s="134"/>
      <c r="E624" s="134"/>
      <c r="F624" s="134"/>
      <c r="G624" s="134"/>
      <c r="H624" s="134"/>
      <c r="I624" s="134"/>
    </row>
    <row r="625" spans="1:9" ht="12.75" customHeight="1" x14ac:dyDescent="0.45">
      <c r="A625" s="138"/>
      <c r="B625" s="138"/>
      <c r="C625" s="134"/>
      <c r="D625" s="134"/>
      <c r="E625" s="134"/>
      <c r="F625" s="134"/>
      <c r="G625" s="134"/>
      <c r="H625" s="134"/>
      <c r="I625" s="134"/>
    </row>
    <row r="626" spans="1:9" ht="12.75" customHeight="1" x14ac:dyDescent="0.45">
      <c r="A626" s="138"/>
      <c r="B626" s="138"/>
      <c r="C626" s="134"/>
      <c r="D626" s="134"/>
      <c r="E626" s="134"/>
      <c r="F626" s="134"/>
      <c r="G626" s="134"/>
      <c r="H626" s="134"/>
      <c r="I626" s="134"/>
    </row>
    <row r="627" spans="1:9" ht="12.75" customHeight="1" x14ac:dyDescent="0.45">
      <c r="A627" s="138"/>
      <c r="B627" s="138"/>
      <c r="C627" s="134"/>
      <c r="D627" s="134"/>
      <c r="E627" s="134"/>
      <c r="F627" s="134"/>
      <c r="G627" s="134"/>
      <c r="H627" s="134"/>
      <c r="I627" s="134"/>
    </row>
    <row r="628" spans="1:9" ht="12.75" customHeight="1" x14ac:dyDescent="0.45">
      <c r="A628" s="138"/>
      <c r="B628" s="138"/>
      <c r="C628" s="134"/>
      <c r="D628" s="134"/>
      <c r="E628" s="134"/>
      <c r="F628" s="134"/>
      <c r="G628" s="134"/>
      <c r="H628" s="134"/>
      <c r="I628" s="134"/>
    </row>
    <row r="629" spans="1:9" ht="12.75" customHeight="1" x14ac:dyDescent="0.45">
      <c r="A629" s="138"/>
      <c r="B629" s="138"/>
      <c r="C629" s="134"/>
      <c r="D629" s="134"/>
      <c r="E629" s="134"/>
      <c r="F629" s="134"/>
      <c r="G629" s="134"/>
      <c r="H629" s="134"/>
      <c r="I629" s="134"/>
    </row>
    <row r="630" spans="1:9" ht="12.75" customHeight="1" x14ac:dyDescent="0.45">
      <c r="A630" s="138"/>
      <c r="B630" s="138"/>
      <c r="C630" s="134"/>
      <c r="D630" s="134"/>
      <c r="E630" s="134"/>
      <c r="F630" s="134"/>
      <c r="G630" s="134"/>
      <c r="H630" s="134"/>
      <c r="I630" s="134"/>
    </row>
    <row r="631" spans="1:9" ht="12.75" customHeight="1" x14ac:dyDescent="0.45">
      <c r="A631" s="138"/>
      <c r="B631" s="138"/>
      <c r="C631" s="134"/>
      <c r="D631" s="134"/>
      <c r="E631" s="134"/>
      <c r="F631" s="134"/>
      <c r="G631" s="134"/>
      <c r="H631" s="134"/>
      <c r="I631" s="134"/>
    </row>
    <row r="632" spans="1:9" ht="12.75" customHeight="1" x14ac:dyDescent="0.45">
      <c r="A632" s="138"/>
      <c r="B632" s="138"/>
      <c r="C632" s="134"/>
      <c r="D632" s="134"/>
      <c r="E632" s="134"/>
      <c r="F632" s="134"/>
      <c r="G632" s="134"/>
      <c r="H632" s="134"/>
      <c r="I632" s="134"/>
    </row>
    <row r="633" spans="1:9" ht="12.75" customHeight="1" x14ac:dyDescent="0.45">
      <c r="A633" s="138"/>
      <c r="B633" s="138"/>
      <c r="C633" s="134"/>
      <c r="D633" s="134"/>
      <c r="E633" s="134"/>
      <c r="F633" s="134"/>
      <c r="G633" s="134"/>
      <c r="H633" s="134"/>
      <c r="I633" s="134"/>
    </row>
    <row r="634" spans="1:9" ht="12.75" customHeight="1" x14ac:dyDescent="0.45">
      <c r="A634" s="138"/>
      <c r="B634" s="138"/>
      <c r="C634" s="134"/>
      <c r="D634" s="134"/>
      <c r="E634" s="134"/>
      <c r="F634" s="134"/>
      <c r="G634" s="134"/>
      <c r="H634" s="134"/>
      <c r="I634" s="134"/>
    </row>
    <row r="635" spans="1:9" ht="12.75" customHeight="1" x14ac:dyDescent="0.45">
      <c r="A635" s="138"/>
      <c r="B635" s="138"/>
      <c r="C635" s="134"/>
      <c r="D635" s="134"/>
      <c r="E635" s="134"/>
      <c r="F635" s="134"/>
      <c r="G635" s="134"/>
      <c r="H635" s="134"/>
      <c r="I635" s="134"/>
    </row>
    <row r="636" spans="1:9" ht="12.75" customHeight="1" x14ac:dyDescent="0.45">
      <c r="A636" s="138"/>
      <c r="B636" s="138"/>
      <c r="C636" s="134"/>
      <c r="D636" s="134"/>
      <c r="E636" s="134"/>
      <c r="F636" s="134"/>
      <c r="G636" s="134"/>
      <c r="H636" s="134"/>
      <c r="I636" s="134"/>
    </row>
    <row r="637" spans="1:9" ht="12.75" customHeight="1" x14ac:dyDescent="0.45">
      <c r="A637" s="138"/>
      <c r="B637" s="138"/>
      <c r="C637" s="134"/>
      <c r="D637" s="134"/>
      <c r="E637" s="134"/>
      <c r="F637" s="134"/>
      <c r="G637" s="134"/>
      <c r="H637" s="134"/>
      <c r="I637" s="134"/>
    </row>
    <row r="638" spans="1:9" ht="12.75" customHeight="1" x14ac:dyDescent="0.45">
      <c r="A638" s="138"/>
      <c r="B638" s="138"/>
      <c r="C638" s="134"/>
      <c r="D638" s="134"/>
      <c r="E638" s="134"/>
      <c r="F638" s="134"/>
      <c r="G638" s="134"/>
      <c r="H638" s="134"/>
      <c r="I638" s="134"/>
    </row>
    <row r="639" spans="1:9" ht="12.75" customHeight="1" x14ac:dyDescent="0.45">
      <c r="A639" s="138"/>
      <c r="B639" s="138"/>
      <c r="C639" s="134"/>
      <c r="D639" s="134"/>
      <c r="E639" s="134"/>
      <c r="F639" s="134"/>
      <c r="G639" s="134"/>
      <c r="H639" s="134"/>
      <c r="I639" s="134"/>
    </row>
    <row r="640" spans="1:9" ht="12.75" customHeight="1" x14ac:dyDescent="0.45">
      <c r="A640" s="138"/>
      <c r="B640" s="138"/>
      <c r="C640" s="134"/>
      <c r="D640" s="134"/>
      <c r="E640" s="134"/>
      <c r="F640" s="134"/>
      <c r="G640" s="134"/>
      <c r="H640" s="134"/>
      <c r="I640" s="134"/>
    </row>
    <row r="641" spans="1:9" ht="12.75" customHeight="1" x14ac:dyDescent="0.45">
      <c r="A641" s="138"/>
      <c r="B641" s="138"/>
      <c r="C641" s="134"/>
      <c r="D641" s="134"/>
      <c r="E641" s="134"/>
      <c r="F641" s="134"/>
      <c r="G641" s="134"/>
      <c r="H641" s="134"/>
      <c r="I641" s="134"/>
    </row>
    <row r="642" spans="1:9" ht="12.75" customHeight="1" x14ac:dyDescent="0.45">
      <c r="A642" s="138"/>
      <c r="B642" s="138"/>
      <c r="C642" s="134"/>
      <c r="D642" s="134"/>
      <c r="E642" s="134"/>
      <c r="F642" s="134"/>
      <c r="G642" s="134"/>
      <c r="H642" s="134"/>
      <c r="I642" s="134"/>
    </row>
    <row r="643" spans="1:9" ht="12.75" customHeight="1" x14ac:dyDescent="0.45">
      <c r="A643" s="138"/>
      <c r="B643" s="138"/>
      <c r="C643" s="134"/>
      <c r="D643" s="134"/>
      <c r="E643" s="134"/>
      <c r="F643" s="134"/>
      <c r="G643" s="134"/>
      <c r="H643" s="134"/>
      <c r="I643" s="134"/>
    </row>
    <row r="644" spans="1:9" ht="12.75" customHeight="1" x14ac:dyDescent="0.45">
      <c r="A644" s="138"/>
      <c r="B644" s="138"/>
      <c r="C644" s="134"/>
      <c r="D644" s="134"/>
      <c r="E644" s="134"/>
      <c r="F644" s="134"/>
      <c r="G644" s="134"/>
      <c r="H644" s="134"/>
      <c r="I644" s="134"/>
    </row>
    <row r="645" spans="1:9" ht="12.75" customHeight="1" x14ac:dyDescent="0.45">
      <c r="A645" s="138"/>
      <c r="B645" s="138"/>
      <c r="C645" s="134"/>
      <c r="D645" s="134"/>
      <c r="E645" s="134"/>
      <c r="F645" s="134"/>
      <c r="G645" s="134"/>
      <c r="H645" s="134"/>
      <c r="I645" s="134"/>
    </row>
    <row r="646" spans="1:9" ht="12.75" customHeight="1" x14ac:dyDescent="0.45">
      <c r="A646" s="138"/>
      <c r="B646" s="138"/>
      <c r="C646" s="134"/>
      <c r="D646" s="134"/>
      <c r="E646" s="134"/>
      <c r="F646" s="134"/>
      <c r="G646" s="134"/>
      <c r="H646" s="134"/>
      <c r="I646" s="134"/>
    </row>
    <row r="647" spans="1:9" ht="12.75" customHeight="1" x14ac:dyDescent="0.45">
      <c r="A647" s="138"/>
      <c r="B647" s="138"/>
      <c r="C647" s="134"/>
      <c r="D647" s="134"/>
      <c r="E647" s="134"/>
      <c r="F647" s="134"/>
      <c r="G647" s="134"/>
      <c r="H647" s="134"/>
      <c r="I647" s="134"/>
    </row>
    <row r="648" spans="1:9" ht="12.75" customHeight="1" x14ac:dyDescent="0.45">
      <c r="A648" s="138"/>
      <c r="B648" s="138"/>
      <c r="C648" s="134"/>
      <c r="D648" s="134"/>
      <c r="E648" s="134"/>
      <c r="F648" s="134"/>
      <c r="G648" s="134"/>
      <c r="H648" s="134"/>
      <c r="I648" s="134"/>
    </row>
    <row r="649" spans="1:9" ht="12.75" customHeight="1" x14ac:dyDescent="0.45">
      <c r="A649" s="138"/>
      <c r="B649" s="138"/>
      <c r="C649" s="134"/>
      <c r="D649" s="134"/>
      <c r="E649" s="134"/>
      <c r="F649" s="134"/>
      <c r="G649" s="134"/>
      <c r="H649" s="134"/>
      <c r="I649" s="134"/>
    </row>
    <row r="650" spans="1:9" ht="12.75" customHeight="1" x14ac:dyDescent="0.45">
      <c r="A650" s="138"/>
      <c r="B650" s="138"/>
      <c r="C650" s="134"/>
      <c r="D650" s="134"/>
      <c r="E650" s="134"/>
      <c r="F650" s="134"/>
      <c r="G650" s="134"/>
      <c r="H650" s="134"/>
      <c r="I650" s="134"/>
    </row>
    <row r="651" spans="1:9" ht="12.75" customHeight="1" x14ac:dyDescent="0.45">
      <c r="A651" s="138"/>
      <c r="B651" s="138"/>
      <c r="C651" s="134"/>
      <c r="D651" s="134"/>
      <c r="E651" s="134"/>
      <c r="F651" s="134"/>
      <c r="G651" s="134"/>
      <c r="H651" s="134"/>
      <c r="I651" s="134"/>
    </row>
    <row r="652" spans="1:9" ht="12.75" customHeight="1" x14ac:dyDescent="0.45">
      <c r="A652" s="138"/>
      <c r="B652" s="138"/>
      <c r="C652" s="134"/>
      <c r="D652" s="134"/>
      <c r="E652" s="134"/>
      <c r="F652" s="134"/>
      <c r="G652" s="134"/>
      <c r="H652" s="134"/>
      <c r="I652" s="134"/>
    </row>
    <row r="653" spans="1:9" ht="12.75" customHeight="1" x14ac:dyDescent="0.45">
      <c r="A653" s="138"/>
      <c r="B653" s="138"/>
      <c r="C653" s="134"/>
      <c r="D653" s="134"/>
      <c r="E653" s="134"/>
      <c r="F653" s="134"/>
      <c r="G653" s="134"/>
      <c r="H653" s="134"/>
      <c r="I653" s="134"/>
    </row>
    <row r="654" spans="1:9" ht="12.75" customHeight="1" x14ac:dyDescent="0.45">
      <c r="A654" s="138"/>
      <c r="B654" s="138"/>
      <c r="C654" s="134"/>
      <c r="D654" s="134"/>
      <c r="E654" s="134"/>
      <c r="F654" s="134"/>
      <c r="G654" s="134"/>
      <c r="H654" s="134"/>
      <c r="I654" s="134"/>
    </row>
    <row r="655" spans="1:9" ht="12.75" customHeight="1" x14ac:dyDescent="0.45">
      <c r="A655" s="138"/>
      <c r="B655" s="138"/>
      <c r="C655" s="134"/>
      <c r="D655" s="134"/>
      <c r="E655" s="134"/>
      <c r="F655" s="134"/>
      <c r="G655" s="134"/>
      <c r="H655" s="134"/>
      <c r="I655" s="134"/>
    </row>
    <row r="656" spans="1:9" ht="12.75" customHeight="1" x14ac:dyDescent="0.45">
      <c r="A656" s="138"/>
      <c r="B656" s="138"/>
      <c r="C656" s="134"/>
      <c r="D656" s="134"/>
      <c r="E656" s="134"/>
      <c r="F656" s="134"/>
      <c r="G656" s="134"/>
      <c r="H656" s="134"/>
      <c r="I656" s="134"/>
    </row>
    <row r="657" spans="1:9" ht="12.75" customHeight="1" x14ac:dyDescent="0.45">
      <c r="A657" s="138"/>
      <c r="B657" s="138"/>
      <c r="C657" s="134"/>
      <c r="D657" s="134"/>
      <c r="E657" s="134"/>
      <c r="F657" s="134"/>
      <c r="G657" s="134"/>
      <c r="H657" s="134"/>
      <c r="I657" s="134"/>
    </row>
    <row r="658" spans="1:9" ht="12.75" customHeight="1" x14ac:dyDescent="0.45">
      <c r="A658" s="138"/>
      <c r="B658" s="138"/>
      <c r="C658" s="134"/>
      <c r="D658" s="134"/>
      <c r="E658" s="134"/>
      <c r="F658" s="134"/>
      <c r="G658" s="134"/>
      <c r="H658" s="134"/>
      <c r="I658" s="134"/>
    </row>
    <row r="659" spans="1:9" ht="12.75" customHeight="1" x14ac:dyDescent="0.45">
      <c r="A659" s="138"/>
      <c r="B659" s="138"/>
      <c r="C659" s="134"/>
      <c r="D659" s="134"/>
      <c r="E659" s="134"/>
      <c r="F659" s="134"/>
      <c r="G659" s="134"/>
      <c r="H659" s="134"/>
      <c r="I659" s="134"/>
    </row>
    <row r="660" spans="1:9" ht="12.75" customHeight="1" x14ac:dyDescent="0.45">
      <c r="A660" s="138"/>
      <c r="B660" s="138"/>
      <c r="C660" s="134"/>
      <c r="D660" s="134"/>
      <c r="E660" s="134"/>
      <c r="F660" s="134"/>
      <c r="G660" s="134"/>
      <c r="H660" s="134"/>
      <c r="I660" s="134"/>
    </row>
    <row r="661" spans="1:9" ht="12.75" customHeight="1" x14ac:dyDescent="0.45">
      <c r="A661" s="138"/>
      <c r="B661" s="138"/>
      <c r="C661" s="134"/>
      <c r="D661" s="134"/>
      <c r="E661" s="134"/>
      <c r="F661" s="134"/>
      <c r="G661" s="134"/>
      <c r="H661" s="134"/>
      <c r="I661" s="134"/>
    </row>
    <row r="662" spans="1:9" ht="12.75" customHeight="1" x14ac:dyDescent="0.45">
      <c r="A662" s="138"/>
      <c r="B662" s="138"/>
      <c r="C662" s="134"/>
      <c r="D662" s="134"/>
      <c r="E662" s="134"/>
      <c r="F662" s="134"/>
      <c r="G662" s="134"/>
      <c r="H662" s="134"/>
      <c r="I662" s="134"/>
    </row>
    <row r="663" spans="1:9" ht="12.75" customHeight="1" x14ac:dyDescent="0.45">
      <c r="A663" s="138"/>
      <c r="B663" s="138"/>
      <c r="C663" s="134"/>
      <c r="D663" s="134"/>
      <c r="E663" s="134"/>
      <c r="F663" s="134"/>
      <c r="G663" s="134"/>
      <c r="H663" s="134"/>
      <c r="I663" s="134"/>
    </row>
    <row r="664" spans="1:9" ht="12.75" customHeight="1" x14ac:dyDescent="0.45">
      <c r="A664" s="138"/>
      <c r="B664" s="138"/>
      <c r="C664" s="134"/>
      <c r="D664" s="134"/>
      <c r="E664" s="134"/>
      <c r="F664" s="134"/>
      <c r="G664" s="134"/>
      <c r="H664" s="134"/>
      <c r="I664" s="134"/>
    </row>
    <row r="665" spans="1:9" ht="12.75" customHeight="1" x14ac:dyDescent="0.45">
      <c r="A665" s="138"/>
      <c r="B665" s="138"/>
      <c r="C665" s="134"/>
      <c r="D665" s="134"/>
      <c r="E665" s="134"/>
      <c r="F665" s="134"/>
      <c r="G665" s="134"/>
      <c r="H665" s="134"/>
      <c r="I665" s="134"/>
    </row>
    <row r="666" spans="1:9" ht="12.75" customHeight="1" x14ac:dyDescent="0.45">
      <c r="A666" s="138"/>
      <c r="B666" s="138"/>
      <c r="C666" s="134"/>
      <c r="D666" s="134"/>
      <c r="E666" s="134"/>
      <c r="F666" s="134"/>
      <c r="G666" s="134"/>
      <c r="H666" s="134"/>
      <c r="I666" s="134"/>
    </row>
    <row r="667" spans="1:9" ht="12.75" customHeight="1" x14ac:dyDescent="0.45">
      <c r="A667" s="138"/>
      <c r="B667" s="138"/>
      <c r="C667" s="134"/>
      <c r="D667" s="134"/>
      <c r="E667" s="134"/>
      <c r="F667" s="134"/>
      <c r="G667" s="134"/>
      <c r="H667" s="134"/>
      <c r="I667" s="134"/>
    </row>
    <row r="668" spans="1:9" ht="12.75" customHeight="1" x14ac:dyDescent="0.45">
      <c r="A668" s="138"/>
      <c r="B668" s="138"/>
      <c r="C668" s="134"/>
      <c r="D668" s="134"/>
      <c r="E668" s="134"/>
      <c r="F668" s="134"/>
      <c r="G668" s="134"/>
      <c r="H668" s="134"/>
      <c r="I668" s="134"/>
    </row>
    <row r="669" spans="1:9" ht="12.75" customHeight="1" x14ac:dyDescent="0.45">
      <c r="A669" s="138"/>
      <c r="B669" s="138"/>
      <c r="C669" s="134"/>
      <c r="D669" s="134"/>
      <c r="E669" s="134"/>
      <c r="F669" s="134"/>
      <c r="G669" s="134"/>
      <c r="H669" s="134"/>
      <c r="I669" s="134"/>
    </row>
    <row r="670" spans="1:9" ht="12.75" customHeight="1" x14ac:dyDescent="0.45">
      <c r="A670" s="138"/>
      <c r="B670" s="138"/>
      <c r="C670" s="134"/>
      <c r="D670" s="134"/>
      <c r="E670" s="134"/>
      <c r="F670" s="134"/>
      <c r="G670" s="134"/>
      <c r="H670" s="134"/>
      <c r="I670" s="134"/>
    </row>
    <row r="671" spans="1:9" ht="12.75" customHeight="1" x14ac:dyDescent="0.45">
      <c r="A671" s="138"/>
      <c r="B671" s="138"/>
      <c r="C671" s="134"/>
      <c r="D671" s="134"/>
      <c r="E671" s="134"/>
      <c r="F671" s="134"/>
      <c r="G671" s="134"/>
      <c r="H671" s="134"/>
      <c r="I671" s="134"/>
    </row>
    <row r="672" spans="1:9" ht="12.75" customHeight="1" x14ac:dyDescent="0.45">
      <c r="A672" s="138"/>
      <c r="B672" s="138"/>
      <c r="C672" s="134"/>
      <c r="D672" s="134"/>
      <c r="E672" s="134"/>
      <c r="F672" s="134"/>
      <c r="G672" s="134"/>
      <c r="H672" s="134"/>
      <c r="I672" s="134"/>
    </row>
    <row r="673" spans="1:9" ht="12.75" customHeight="1" x14ac:dyDescent="0.45">
      <c r="A673" s="138"/>
      <c r="B673" s="138"/>
      <c r="C673" s="134"/>
      <c r="D673" s="134"/>
      <c r="E673" s="134"/>
      <c r="F673" s="134"/>
      <c r="G673" s="134"/>
      <c r="H673" s="134"/>
      <c r="I673" s="134"/>
    </row>
    <row r="674" spans="1:9" ht="12.75" customHeight="1" x14ac:dyDescent="0.45">
      <c r="A674" s="138"/>
      <c r="B674" s="138"/>
      <c r="C674" s="134"/>
      <c r="D674" s="134"/>
      <c r="E674" s="134"/>
      <c r="F674" s="134"/>
      <c r="G674" s="134"/>
      <c r="H674" s="134"/>
      <c r="I674" s="134"/>
    </row>
    <row r="675" spans="1:9" ht="12.75" customHeight="1" x14ac:dyDescent="0.45">
      <c r="A675" s="138"/>
      <c r="B675" s="138"/>
      <c r="C675" s="134"/>
      <c r="D675" s="134"/>
      <c r="E675" s="134"/>
      <c r="F675" s="134"/>
      <c r="G675" s="134"/>
      <c r="H675" s="134"/>
      <c r="I675" s="134"/>
    </row>
    <row r="676" spans="1:9" ht="12.75" customHeight="1" x14ac:dyDescent="0.45">
      <c r="A676" s="138"/>
      <c r="B676" s="138"/>
      <c r="C676" s="134"/>
      <c r="D676" s="134"/>
      <c r="E676" s="134"/>
      <c r="F676" s="134"/>
      <c r="G676" s="134"/>
      <c r="H676" s="134"/>
      <c r="I676" s="134"/>
    </row>
    <row r="677" spans="1:9" ht="12.75" customHeight="1" x14ac:dyDescent="0.45">
      <c r="A677" s="138"/>
      <c r="B677" s="138"/>
      <c r="C677" s="134"/>
      <c r="D677" s="134"/>
      <c r="E677" s="134"/>
      <c r="F677" s="134"/>
      <c r="G677" s="134"/>
      <c r="H677" s="134"/>
      <c r="I677" s="134"/>
    </row>
    <row r="678" spans="1:9" ht="12.75" customHeight="1" x14ac:dyDescent="0.45">
      <c r="A678" s="138"/>
      <c r="B678" s="138"/>
      <c r="C678" s="134"/>
      <c r="D678" s="134"/>
      <c r="E678" s="134"/>
      <c r="F678" s="134"/>
      <c r="G678" s="134"/>
      <c r="H678" s="134"/>
      <c r="I678" s="134"/>
    </row>
    <row r="679" spans="1:9" ht="12.75" customHeight="1" x14ac:dyDescent="0.45">
      <c r="A679" s="138"/>
      <c r="B679" s="138"/>
      <c r="C679" s="134"/>
      <c r="D679" s="134"/>
      <c r="E679" s="134"/>
      <c r="F679" s="134"/>
      <c r="G679" s="134"/>
      <c r="H679" s="134"/>
      <c r="I679" s="134"/>
    </row>
    <row r="680" spans="1:9" ht="12.75" customHeight="1" x14ac:dyDescent="0.45">
      <c r="A680" s="138"/>
      <c r="B680" s="138"/>
      <c r="C680" s="134"/>
      <c r="D680" s="134"/>
      <c r="E680" s="134"/>
      <c r="F680" s="134"/>
      <c r="G680" s="134"/>
      <c r="H680" s="134"/>
      <c r="I680" s="134"/>
    </row>
    <row r="681" spans="1:9" ht="12.75" customHeight="1" x14ac:dyDescent="0.45">
      <c r="A681" s="138"/>
      <c r="B681" s="138"/>
      <c r="C681" s="134"/>
      <c r="D681" s="134"/>
      <c r="E681" s="134"/>
      <c r="F681" s="134"/>
      <c r="G681" s="134"/>
      <c r="H681" s="134"/>
      <c r="I681" s="134"/>
    </row>
    <row r="682" spans="1:9" ht="12.75" customHeight="1" x14ac:dyDescent="0.45">
      <c r="A682" s="138"/>
      <c r="B682" s="138"/>
      <c r="C682" s="134"/>
      <c r="D682" s="134"/>
      <c r="E682" s="134"/>
      <c r="F682" s="134"/>
      <c r="G682" s="134"/>
      <c r="H682" s="134"/>
      <c r="I682" s="134"/>
    </row>
    <row r="683" spans="1:9" ht="12.75" customHeight="1" x14ac:dyDescent="0.45">
      <c r="A683" s="138"/>
      <c r="B683" s="138"/>
      <c r="C683" s="134"/>
      <c r="D683" s="134"/>
      <c r="E683" s="134"/>
      <c r="F683" s="134"/>
      <c r="G683" s="134"/>
      <c r="H683" s="134"/>
      <c r="I683" s="134"/>
    </row>
    <row r="684" spans="1:9" ht="12.75" customHeight="1" x14ac:dyDescent="0.45">
      <c r="A684" s="138"/>
      <c r="B684" s="138"/>
      <c r="C684" s="134"/>
      <c r="D684" s="134"/>
      <c r="E684" s="134"/>
      <c r="F684" s="134"/>
      <c r="G684" s="134"/>
      <c r="H684" s="134"/>
      <c r="I684" s="134"/>
    </row>
    <row r="685" spans="1:9" ht="12.75" customHeight="1" x14ac:dyDescent="0.45">
      <c r="A685" s="138"/>
      <c r="B685" s="138"/>
      <c r="C685" s="134"/>
      <c r="D685" s="134"/>
      <c r="E685" s="134"/>
      <c r="F685" s="134"/>
      <c r="G685" s="134"/>
      <c r="H685" s="134"/>
      <c r="I685" s="134"/>
    </row>
    <row r="686" spans="1:9" ht="12.75" customHeight="1" x14ac:dyDescent="0.45">
      <c r="A686" s="138"/>
      <c r="B686" s="138"/>
      <c r="C686" s="134"/>
      <c r="D686" s="134"/>
      <c r="E686" s="134"/>
      <c r="F686" s="134"/>
      <c r="G686" s="134"/>
      <c r="H686" s="134"/>
      <c r="I686" s="134"/>
    </row>
    <row r="687" spans="1:9" ht="12.75" customHeight="1" x14ac:dyDescent="0.45">
      <c r="A687" s="138"/>
      <c r="B687" s="138"/>
      <c r="C687" s="134"/>
      <c r="D687" s="134"/>
      <c r="E687" s="134"/>
      <c r="F687" s="134"/>
      <c r="G687" s="134"/>
      <c r="H687" s="134"/>
      <c r="I687" s="134"/>
    </row>
    <row r="688" spans="1:9" ht="12.75" customHeight="1" x14ac:dyDescent="0.45">
      <c r="A688" s="138"/>
      <c r="B688" s="138"/>
      <c r="C688" s="134"/>
      <c r="D688" s="134"/>
      <c r="E688" s="134"/>
      <c r="F688" s="134"/>
      <c r="G688" s="134"/>
      <c r="H688" s="134"/>
      <c r="I688" s="134"/>
    </row>
    <row r="689" spans="1:9" ht="12.75" customHeight="1" x14ac:dyDescent="0.45">
      <c r="A689" s="138"/>
      <c r="B689" s="138"/>
      <c r="C689" s="134"/>
      <c r="D689" s="134"/>
      <c r="E689" s="134"/>
      <c r="F689" s="134"/>
      <c r="G689" s="134"/>
      <c r="H689" s="134"/>
      <c r="I689" s="134"/>
    </row>
    <row r="690" spans="1:9" ht="12.75" customHeight="1" x14ac:dyDescent="0.45">
      <c r="A690" s="138"/>
      <c r="B690" s="138"/>
      <c r="C690" s="134"/>
      <c r="D690" s="134"/>
      <c r="E690" s="134"/>
      <c r="F690" s="134"/>
      <c r="G690" s="134"/>
      <c r="H690" s="134"/>
      <c r="I690" s="134"/>
    </row>
    <row r="691" spans="1:9" ht="12.75" customHeight="1" x14ac:dyDescent="0.45">
      <c r="A691" s="138"/>
      <c r="B691" s="138"/>
      <c r="C691" s="134"/>
      <c r="D691" s="134"/>
      <c r="E691" s="134"/>
      <c r="F691" s="134"/>
      <c r="G691" s="134"/>
      <c r="H691" s="134"/>
      <c r="I691" s="134"/>
    </row>
    <row r="692" spans="1:9" ht="12.75" customHeight="1" x14ac:dyDescent="0.45">
      <c r="A692" s="138"/>
      <c r="B692" s="138"/>
      <c r="C692" s="134"/>
      <c r="D692" s="134"/>
      <c r="E692" s="134"/>
      <c r="F692" s="134"/>
      <c r="G692" s="134"/>
      <c r="H692" s="134"/>
      <c r="I692" s="134"/>
    </row>
    <row r="693" spans="1:9" ht="12.75" customHeight="1" x14ac:dyDescent="0.45">
      <c r="A693" s="138"/>
      <c r="B693" s="138"/>
      <c r="C693" s="134"/>
      <c r="D693" s="134"/>
      <c r="E693" s="134"/>
      <c r="F693" s="134"/>
      <c r="G693" s="134"/>
      <c r="H693" s="134"/>
      <c r="I693" s="134"/>
    </row>
    <row r="694" spans="1:9" ht="12.75" customHeight="1" x14ac:dyDescent="0.45">
      <c r="A694" s="138"/>
      <c r="B694" s="138"/>
      <c r="C694" s="134"/>
      <c r="D694" s="134"/>
      <c r="E694" s="134"/>
      <c r="F694" s="134"/>
      <c r="G694" s="134"/>
      <c r="H694" s="134"/>
      <c r="I694" s="134"/>
    </row>
    <row r="695" spans="1:9" ht="12.75" customHeight="1" x14ac:dyDescent="0.45">
      <c r="A695" s="138"/>
      <c r="B695" s="138"/>
      <c r="C695" s="134"/>
      <c r="D695" s="134"/>
      <c r="E695" s="134"/>
      <c r="F695" s="134"/>
      <c r="G695" s="134"/>
      <c r="H695" s="134"/>
      <c r="I695" s="134"/>
    </row>
    <row r="696" spans="1:9" ht="12.75" customHeight="1" x14ac:dyDescent="0.45">
      <c r="A696" s="138"/>
      <c r="B696" s="138"/>
      <c r="C696" s="134"/>
      <c r="D696" s="134"/>
      <c r="E696" s="134"/>
      <c r="F696" s="134"/>
      <c r="G696" s="134"/>
      <c r="H696" s="134"/>
      <c r="I696" s="134"/>
    </row>
    <row r="697" spans="1:9" ht="12.75" customHeight="1" x14ac:dyDescent="0.45">
      <c r="A697" s="138"/>
      <c r="B697" s="138"/>
      <c r="C697" s="134"/>
      <c r="D697" s="134"/>
      <c r="E697" s="134"/>
      <c r="F697" s="134"/>
      <c r="G697" s="134"/>
      <c r="H697" s="134"/>
      <c r="I697" s="134"/>
    </row>
    <row r="698" spans="1:9" ht="12.75" customHeight="1" x14ac:dyDescent="0.45">
      <c r="A698" s="138"/>
      <c r="B698" s="138"/>
      <c r="C698" s="134"/>
      <c r="D698" s="134"/>
      <c r="E698" s="134"/>
      <c r="F698" s="134"/>
      <c r="G698" s="134"/>
      <c r="H698" s="134"/>
      <c r="I698" s="134"/>
    </row>
    <row r="699" spans="1:9" ht="12.75" customHeight="1" x14ac:dyDescent="0.45">
      <c r="A699" s="138"/>
      <c r="B699" s="138"/>
      <c r="C699" s="134"/>
      <c r="D699" s="134"/>
      <c r="E699" s="134"/>
      <c r="F699" s="134"/>
      <c r="G699" s="134"/>
      <c r="H699" s="134"/>
      <c r="I699" s="134"/>
    </row>
    <row r="700" spans="1:9" ht="12.75" customHeight="1" x14ac:dyDescent="0.45">
      <c r="A700" s="138"/>
      <c r="B700" s="138"/>
      <c r="C700" s="134"/>
      <c r="D700" s="134"/>
      <c r="E700" s="134"/>
      <c r="F700" s="134"/>
      <c r="G700" s="134"/>
      <c r="H700" s="134"/>
      <c r="I700" s="134"/>
    </row>
    <row r="701" spans="1:9" ht="12.75" customHeight="1" x14ac:dyDescent="0.45">
      <c r="A701" s="138"/>
      <c r="B701" s="138"/>
      <c r="C701" s="134"/>
      <c r="D701" s="134"/>
      <c r="E701" s="134"/>
      <c r="F701" s="134"/>
      <c r="G701" s="134"/>
      <c r="H701" s="134"/>
      <c r="I701" s="134"/>
    </row>
    <row r="702" spans="1:9" ht="12.75" customHeight="1" x14ac:dyDescent="0.45">
      <c r="A702" s="138"/>
      <c r="B702" s="138"/>
      <c r="C702" s="134"/>
      <c r="D702" s="134"/>
      <c r="E702" s="134"/>
      <c r="F702" s="134"/>
      <c r="G702" s="134"/>
      <c r="H702" s="134"/>
      <c r="I702" s="134"/>
    </row>
    <row r="703" spans="1:9" ht="12.75" customHeight="1" x14ac:dyDescent="0.45">
      <c r="A703" s="138"/>
      <c r="B703" s="138"/>
      <c r="C703" s="134"/>
      <c r="D703" s="134"/>
      <c r="E703" s="134"/>
      <c r="F703" s="134"/>
      <c r="G703" s="134"/>
      <c r="H703" s="134"/>
      <c r="I703" s="134"/>
    </row>
    <row r="704" spans="1:9" ht="12.75" customHeight="1" x14ac:dyDescent="0.45">
      <c r="A704" s="138"/>
      <c r="B704" s="138"/>
      <c r="C704" s="134"/>
      <c r="D704" s="134"/>
      <c r="E704" s="134"/>
      <c r="F704" s="134"/>
      <c r="G704" s="134"/>
      <c r="H704" s="134"/>
      <c r="I704" s="134"/>
    </row>
    <row r="705" spans="1:9" ht="12.75" customHeight="1" x14ac:dyDescent="0.45">
      <c r="A705" s="138"/>
      <c r="B705" s="138"/>
      <c r="C705" s="134"/>
      <c r="D705" s="134"/>
      <c r="E705" s="134"/>
      <c r="F705" s="134"/>
      <c r="G705" s="134"/>
      <c r="H705" s="134"/>
      <c r="I705" s="134"/>
    </row>
    <row r="706" spans="1:9" ht="12.75" customHeight="1" x14ac:dyDescent="0.45">
      <c r="A706" s="138"/>
      <c r="B706" s="138"/>
      <c r="C706" s="134"/>
      <c r="D706" s="134"/>
      <c r="E706" s="134"/>
      <c r="F706" s="134"/>
      <c r="G706" s="134"/>
      <c r="H706" s="134"/>
      <c r="I706" s="134"/>
    </row>
    <row r="707" spans="1:9" ht="12.75" customHeight="1" x14ac:dyDescent="0.45">
      <c r="A707" s="138"/>
      <c r="B707" s="138"/>
      <c r="C707" s="134"/>
      <c r="D707" s="134"/>
      <c r="E707" s="134"/>
      <c r="F707" s="134"/>
      <c r="G707" s="134"/>
      <c r="H707" s="134"/>
      <c r="I707" s="134"/>
    </row>
    <row r="708" spans="1:9" ht="12.75" customHeight="1" x14ac:dyDescent="0.45">
      <c r="A708" s="138"/>
      <c r="B708" s="138"/>
      <c r="C708" s="134"/>
      <c r="D708" s="134"/>
      <c r="E708" s="134"/>
      <c r="F708" s="134"/>
      <c r="G708" s="134"/>
      <c r="H708" s="134"/>
      <c r="I708" s="134"/>
    </row>
    <row r="709" spans="1:9" ht="12.75" customHeight="1" x14ac:dyDescent="0.45">
      <c r="A709" s="138"/>
      <c r="B709" s="138"/>
      <c r="C709" s="134"/>
      <c r="D709" s="134"/>
      <c r="E709" s="134"/>
      <c r="F709" s="134"/>
      <c r="G709" s="134"/>
      <c r="H709" s="134"/>
      <c r="I709" s="134"/>
    </row>
    <row r="710" spans="1:9" ht="12.75" customHeight="1" x14ac:dyDescent="0.45">
      <c r="A710" s="138"/>
      <c r="B710" s="138"/>
      <c r="C710" s="134"/>
      <c r="D710" s="134"/>
      <c r="E710" s="134"/>
      <c r="F710" s="134"/>
      <c r="G710" s="134"/>
      <c r="H710" s="134"/>
      <c r="I710" s="134"/>
    </row>
    <row r="711" spans="1:9" ht="12.75" customHeight="1" x14ac:dyDescent="0.45">
      <c r="A711" s="138"/>
      <c r="B711" s="138"/>
      <c r="C711" s="134"/>
      <c r="D711" s="134"/>
      <c r="E711" s="134"/>
      <c r="F711" s="134"/>
      <c r="G711" s="134"/>
      <c r="H711" s="134"/>
      <c r="I711" s="134"/>
    </row>
    <row r="712" spans="1:9" ht="12.75" customHeight="1" x14ac:dyDescent="0.45">
      <c r="A712" s="138"/>
      <c r="B712" s="138"/>
      <c r="C712" s="134"/>
      <c r="D712" s="134"/>
      <c r="E712" s="134"/>
      <c r="F712" s="134"/>
      <c r="G712" s="134"/>
      <c r="H712" s="134"/>
      <c r="I712" s="134"/>
    </row>
    <row r="713" spans="1:9" ht="12.75" customHeight="1" x14ac:dyDescent="0.45">
      <c r="A713" s="138"/>
      <c r="B713" s="138"/>
      <c r="C713" s="134"/>
      <c r="D713" s="134"/>
      <c r="E713" s="134"/>
      <c r="F713" s="134"/>
      <c r="G713" s="134"/>
      <c r="H713" s="134"/>
      <c r="I713" s="134"/>
    </row>
    <row r="714" spans="1:9" ht="12.75" customHeight="1" x14ac:dyDescent="0.45">
      <c r="A714" s="138"/>
      <c r="B714" s="138"/>
      <c r="C714" s="134"/>
      <c r="D714" s="134"/>
      <c r="E714" s="134"/>
      <c r="F714" s="134"/>
      <c r="G714" s="134"/>
      <c r="H714" s="134"/>
      <c r="I714" s="134"/>
    </row>
    <row r="715" spans="1:9" ht="12.75" customHeight="1" x14ac:dyDescent="0.45">
      <c r="A715" s="138"/>
      <c r="B715" s="138"/>
      <c r="C715" s="134"/>
      <c r="D715" s="134"/>
      <c r="E715" s="134"/>
      <c r="F715" s="134"/>
      <c r="G715" s="134"/>
      <c r="H715" s="134"/>
      <c r="I715" s="134"/>
    </row>
    <row r="716" spans="1:9" ht="12.75" customHeight="1" x14ac:dyDescent="0.45">
      <c r="A716" s="138"/>
      <c r="B716" s="138"/>
      <c r="C716" s="134"/>
      <c r="D716" s="134"/>
      <c r="E716" s="134"/>
      <c r="F716" s="134"/>
      <c r="G716" s="134"/>
      <c r="H716" s="134"/>
      <c r="I716" s="134"/>
    </row>
    <row r="717" spans="1:9" ht="12.75" customHeight="1" x14ac:dyDescent="0.45">
      <c r="A717" s="138"/>
      <c r="B717" s="138"/>
      <c r="C717" s="134"/>
      <c r="D717" s="134"/>
      <c r="E717" s="134"/>
      <c r="F717" s="134"/>
      <c r="G717" s="134"/>
      <c r="H717" s="134"/>
      <c r="I717" s="134"/>
    </row>
    <row r="718" spans="1:9" ht="12.75" customHeight="1" x14ac:dyDescent="0.45">
      <c r="A718" s="138"/>
      <c r="B718" s="138"/>
      <c r="C718" s="134"/>
      <c r="D718" s="134"/>
      <c r="E718" s="134"/>
      <c r="F718" s="134"/>
      <c r="G718" s="134"/>
      <c r="H718" s="134"/>
      <c r="I718" s="134"/>
    </row>
    <row r="719" spans="1:9" ht="12.75" customHeight="1" x14ac:dyDescent="0.45">
      <c r="A719" s="138"/>
      <c r="B719" s="138"/>
      <c r="C719" s="134"/>
      <c r="D719" s="134"/>
      <c r="E719" s="134"/>
      <c r="F719" s="134"/>
      <c r="G719" s="134"/>
      <c r="H719" s="134"/>
      <c r="I719" s="134"/>
    </row>
    <row r="720" spans="1:9" ht="12.75" customHeight="1" x14ac:dyDescent="0.45">
      <c r="A720" s="138"/>
      <c r="B720" s="138"/>
      <c r="C720" s="134"/>
      <c r="D720" s="134"/>
      <c r="E720" s="134"/>
      <c r="F720" s="134"/>
      <c r="G720" s="134"/>
      <c r="H720" s="134"/>
      <c r="I720" s="134"/>
    </row>
    <row r="721" spans="1:9" ht="12.75" customHeight="1" x14ac:dyDescent="0.45">
      <c r="A721" s="138"/>
      <c r="B721" s="138"/>
      <c r="C721" s="134"/>
      <c r="D721" s="134"/>
      <c r="E721" s="134"/>
      <c r="F721" s="134"/>
      <c r="G721" s="134"/>
      <c r="H721" s="134"/>
      <c r="I721" s="134"/>
    </row>
    <row r="722" spans="1:9" ht="12.75" customHeight="1" x14ac:dyDescent="0.45">
      <c r="A722" s="138"/>
      <c r="B722" s="138"/>
      <c r="C722" s="134"/>
      <c r="D722" s="134"/>
      <c r="E722" s="134"/>
      <c r="F722" s="134"/>
      <c r="G722" s="134"/>
      <c r="H722" s="134"/>
      <c r="I722" s="134"/>
    </row>
    <row r="723" spans="1:9" ht="12.75" customHeight="1" x14ac:dyDescent="0.45">
      <c r="A723" s="138"/>
      <c r="B723" s="138"/>
      <c r="C723" s="134"/>
      <c r="D723" s="134"/>
      <c r="E723" s="134"/>
      <c r="F723" s="134"/>
      <c r="G723" s="134"/>
      <c r="H723" s="134"/>
      <c r="I723" s="134"/>
    </row>
    <row r="724" spans="1:9" ht="12.75" customHeight="1" x14ac:dyDescent="0.45">
      <c r="A724" s="138"/>
      <c r="B724" s="138"/>
      <c r="C724" s="134"/>
      <c r="D724" s="134"/>
      <c r="E724" s="134"/>
      <c r="F724" s="134"/>
      <c r="G724" s="134"/>
      <c r="H724" s="134"/>
      <c r="I724" s="134"/>
    </row>
    <row r="725" spans="1:9" ht="12.75" customHeight="1" x14ac:dyDescent="0.45">
      <c r="A725" s="138"/>
      <c r="B725" s="138"/>
      <c r="C725" s="134"/>
      <c r="D725" s="134"/>
      <c r="E725" s="134"/>
      <c r="F725" s="134"/>
      <c r="G725" s="134"/>
      <c r="H725" s="134"/>
      <c r="I725" s="134"/>
    </row>
    <row r="726" spans="1:9" ht="12.75" customHeight="1" x14ac:dyDescent="0.45">
      <c r="A726" s="138"/>
      <c r="B726" s="138"/>
      <c r="C726" s="134"/>
      <c r="D726" s="134"/>
      <c r="E726" s="134"/>
      <c r="F726" s="134"/>
      <c r="G726" s="134"/>
      <c r="H726" s="134"/>
      <c r="I726" s="134"/>
    </row>
    <row r="727" spans="1:9" ht="12.75" customHeight="1" x14ac:dyDescent="0.45">
      <c r="A727" s="138"/>
      <c r="B727" s="138"/>
      <c r="C727" s="134"/>
      <c r="D727" s="134"/>
      <c r="E727" s="134"/>
      <c r="F727" s="134"/>
      <c r="G727" s="134"/>
      <c r="H727" s="134"/>
      <c r="I727" s="134"/>
    </row>
    <row r="728" spans="1:9" ht="12.75" customHeight="1" x14ac:dyDescent="0.45">
      <c r="A728" s="138"/>
      <c r="B728" s="138"/>
      <c r="C728" s="134"/>
      <c r="D728" s="134"/>
      <c r="E728" s="134"/>
      <c r="F728" s="134"/>
      <c r="G728" s="134"/>
      <c r="H728" s="134"/>
      <c r="I728" s="134"/>
    </row>
    <row r="729" spans="1:9" ht="12.75" customHeight="1" x14ac:dyDescent="0.45">
      <c r="A729" s="138"/>
      <c r="B729" s="138"/>
      <c r="C729" s="134"/>
      <c r="D729" s="134"/>
      <c r="E729" s="134"/>
      <c r="F729" s="134"/>
      <c r="G729" s="134"/>
      <c r="H729" s="134"/>
      <c r="I729" s="134"/>
    </row>
    <row r="730" spans="1:9" ht="12.75" customHeight="1" x14ac:dyDescent="0.45">
      <c r="A730" s="138"/>
      <c r="B730" s="138"/>
      <c r="C730" s="134"/>
      <c r="D730" s="134"/>
      <c r="E730" s="134"/>
      <c r="F730" s="134"/>
      <c r="G730" s="134"/>
      <c r="H730" s="134"/>
      <c r="I730" s="134"/>
    </row>
    <row r="731" spans="1:9" ht="12.75" customHeight="1" x14ac:dyDescent="0.45">
      <c r="A731" s="138"/>
      <c r="B731" s="138"/>
      <c r="C731" s="134"/>
      <c r="D731" s="134"/>
      <c r="E731" s="134"/>
      <c r="F731" s="134"/>
      <c r="G731" s="134"/>
      <c r="H731" s="134"/>
      <c r="I731" s="134"/>
    </row>
    <row r="732" spans="1:9" ht="12.75" customHeight="1" x14ac:dyDescent="0.45">
      <c r="A732" s="138"/>
      <c r="B732" s="138"/>
      <c r="C732" s="134"/>
      <c r="D732" s="134"/>
      <c r="E732" s="134"/>
      <c r="F732" s="134"/>
      <c r="G732" s="134"/>
      <c r="H732" s="134"/>
      <c r="I732" s="134"/>
    </row>
    <row r="733" spans="1:9" ht="12.75" customHeight="1" x14ac:dyDescent="0.45">
      <c r="A733" s="138"/>
      <c r="B733" s="138"/>
      <c r="C733" s="134"/>
      <c r="D733" s="134"/>
      <c r="E733" s="134"/>
      <c r="F733" s="134"/>
      <c r="G733" s="134"/>
      <c r="H733" s="134"/>
      <c r="I733" s="134"/>
    </row>
    <row r="734" spans="1:9" ht="12.75" customHeight="1" x14ac:dyDescent="0.45">
      <c r="A734" s="138"/>
      <c r="B734" s="138"/>
      <c r="C734" s="134"/>
      <c r="D734" s="134"/>
      <c r="E734" s="134"/>
      <c r="F734" s="134"/>
      <c r="G734" s="134"/>
      <c r="H734" s="134"/>
      <c r="I734" s="134"/>
    </row>
    <row r="735" spans="1:9" ht="12.75" customHeight="1" x14ac:dyDescent="0.45">
      <c r="A735" s="138"/>
      <c r="B735" s="138"/>
      <c r="C735" s="134"/>
      <c r="D735" s="134"/>
      <c r="E735" s="134"/>
      <c r="F735" s="134"/>
      <c r="G735" s="134"/>
      <c r="H735" s="134"/>
      <c r="I735" s="134"/>
    </row>
    <row r="736" spans="1:9" ht="12.75" customHeight="1" x14ac:dyDescent="0.45">
      <c r="A736" s="138"/>
      <c r="B736" s="138"/>
      <c r="C736" s="134"/>
      <c r="D736" s="134"/>
      <c r="E736" s="134"/>
      <c r="F736" s="134"/>
      <c r="G736" s="134"/>
      <c r="H736" s="134"/>
      <c r="I736" s="134"/>
    </row>
    <row r="737" spans="1:9" ht="12.75" customHeight="1" x14ac:dyDescent="0.45">
      <c r="A737" s="138"/>
      <c r="B737" s="138"/>
      <c r="C737" s="134"/>
      <c r="D737" s="134"/>
      <c r="E737" s="134"/>
      <c r="F737" s="134"/>
      <c r="G737" s="134"/>
      <c r="H737" s="134"/>
      <c r="I737" s="134"/>
    </row>
    <row r="738" spans="1:9" ht="12.75" customHeight="1" x14ac:dyDescent="0.45">
      <c r="A738" s="138"/>
      <c r="B738" s="138"/>
      <c r="C738" s="134"/>
      <c r="D738" s="134"/>
      <c r="E738" s="134"/>
      <c r="F738" s="134"/>
      <c r="G738" s="134"/>
      <c r="H738" s="134"/>
      <c r="I738" s="134"/>
    </row>
    <row r="739" spans="1:9" ht="12.75" customHeight="1" x14ac:dyDescent="0.45">
      <c r="A739" s="138"/>
      <c r="B739" s="138"/>
      <c r="C739" s="134"/>
      <c r="D739" s="134"/>
      <c r="E739" s="134"/>
      <c r="F739" s="134"/>
      <c r="G739" s="134"/>
      <c r="H739" s="134"/>
      <c r="I739" s="134"/>
    </row>
    <row r="740" spans="1:9" ht="12.75" customHeight="1" x14ac:dyDescent="0.45">
      <c r="A740" s="138"/>
      <c r="B740" s="138"/>
      <c r="C740" s="134"/>
      <c r="D740" s="134"/>
      <c r="E740" s="134"/>
      <c r="F740" s="134"/>
      <c r="G740" s="134"/>
      <c r="H740" s="134"/>
      <c r="I740" s="134"/>
    </row>
    <row r="741" spans="1:9" ht="12.75" customHeight="1" x14ac:dyDescent="0.45">
      <c r="A741" s="138"/>
      <c r="B741" s="138"/>
      <c r="C741" s="134"/>
      <c r="D741" s="134"/>
      <c r="E741" s="134"/>
      <c r="F741" s="134"/>
      <c r="G741" s="134"/>
      <c r="H741" s="134"/>
      <c r="I741" s="134"/>
    </row>
    <row r="742" spans="1:9" ht="12.75" customHeight="1" x14ac:dyDescent="0.45">
      <c r="A742" s="138"/>
      <c r="B742" s="138"/>
      <c r="C742" s="134"/>
      <c r="D742" s="134"/>
      <c r="E742" s="134"/>
      <c r="F742" s="134"/>
      <c r="G742" s="134"/>
      <c r="H742" s="134"/>
      <c r="I742" s="134"/>
    </row>
    <row r="743" spans="1:9" ht="12.75" customHeight="1" x14ac:dyDescent="0.45">
      <c r="A743" s="138"/>
      <c r="B743" s="138"/>
      <c r="C743" s="134"/>
      <c r="D743" s="134"/>
      <c r="E743" s="134"/>
      <c r="F743" s="134"/>
      <c r="G743" s="134"/>
      <c r="H743" s="134"/>
      <c r="I743" s="134"/>
    </row>
    <row r="744" spans="1:9" ht="12.75" customHeight="1" x14ac:dyDescent="0.45">
      <c r="A744" s="138"/>
      <c r="B744" s="138"/>
      <c r="C744" s="134"/>
      <c r="D744" s="134"/>
      <c r="E744" s="134"/>
      <c r="F744" s="134"/>
      <c r="G744" s="134"/>
      <c r="H744" s="134"/>
      <c r="I744" s="134"/>
    </row>
    <row r="745" spans="1:9" ht="12.75" customHeight="1" x14ac:dyDescent="0.45">
      <c r="A745" s="138"/>
      <c r="B745" s="138"/>
      <c r="C745" s="134"/>
      <c r="D745" s="134"/>
      <c r="E745" s="134"/>
      <c r="F745" s="134"/>
      <c r="G745" s="134"/>
      <c r="H745" s="134"/>
      <c r="I745" s="134"/>
    </row>
    <row r="746" spans="1:9" ht="12.75" customHeight="1" x14ac:dyDescent="0.45">
      <c r="A746" s="138"/>
      <c r="B746" s="138"/>
      <c r="C746" s="134"/>
      <c r="D746" s="134"/>
      <c r="E746" s="134"/>
      <c r="F746" s="134"/>
      <c r="G746" s="134"/>
      <c r="H746" s="134"/>
      <c r="I746" s="134"/>
    </row>
    <row r="747" spans="1:9" ht="12.75" customHeight="1" x14ac:dyDescent="0.45">
      <c r="A747" s="138"/>
      <c r="B747" s="138"/>
      <c r="C747" s="134"/>
      <c r="D747" s="134"/>
      <c r="E747" s="134"/>
      <c r="F747" s="134"/>
      <c r="G747" s="134"/>
      <c r="H747" s="134"/>
      <c r="I747" s="134"/>
    </row>
    <row r="748" spans="1:9" ht="12.75" customHeight="1" x14ac:dyDescent="0.45">
      <c r="A748" s="138"/>
      <c r="B748" s="138"/>
      <c r="C748" s="134"/>
      <c r="D748" s="134"/>
      <c r="E748" s="134"/>
      <c r="F748" s="134"/>
      <c r="G748" s="134"/>
      <c r="H748" s="134"/>
      <c r="I748" s="134"/>
    </row>
    <row r="749" spans="1:9" ht="12.75" customHeight="1" x14ac:dyDescent="0.45">
      <c r="A749" s="138"/>
      <c r="B749" s="138"/>
      <c r="C749" s="134"/>
      <c r="D749" s="134"/>
      <c r="E749" s="134"/>
      <c r="F749" s="134"/>
      <c r="G749" s="134"/>
      <c r="H749" s="134"/>
      <c r="I749" s="134"/>
    </row>
    <row r="750" spans="1:9" ht="12.75" customHeight="1" x14ac:dyDescent="0.45">
      <c r="A750" s="138"/>
      <c r="B750" s="138"/>
      <c r="C750" s="134"/>
      <c r="D750" s="134"/>
      <c r="E750" s="134"/>
      <c r="F750" s="134"/>
      <c r="G750" s="134"/>
      <c r="H750" s="134"/>
      <c r="I750" s="134"/>
    </row>
    <row r="751" spans="1:9" ht="12.75" customHeight="1" x14ac:dyDescent="0.45">
      <c r="A751" s="138"/>
      <c r="B751" s="138"/>
      <c r="C751" s="134"/>
      <c r="D751" s="134"/>
      <c r="E751" s="134"/>
      <c r="F751" s="134"/>
      <c r="G751" s="134"/>
      <c r="H751" s="134"/>
      <c r="I751" s="134"/>
    </row>
    <row r="752" spans="1:9" ht="12.75" customHeight="1" x14ac:dyDescent="0.45">
      <c r="A752" s="138"/>
      <c r="B752" s="138"/>
      <c r="C752" s="134"/>
      <c r="D752" s="134"/>
      <c r="E752" s="134"/>
      <c r="F752" s="134"/>
      <c r="G752" s="134"/>
      <c r="H752" s="134"/>
      <c r="I752" s="134"/>
    </row>
    <row r="753" spans="1:9" ht="12.75" customHeight="1" x14ac:dyDescent="0.45">
      <c r="A753" s="138"/>
      <c r="B753" s="138"/>
      <c r="C753" s="134"/>
      <c r="D753" s="134"/>
      <c r="E753" s="134"/>
      <c r="F753" s="134"/>
      <c r="G753" s="134"/>
      <c r="H753" s="134"/>
      <c r="I753" s="134"/>
    </row>
    <row r="754" spans="1:9" ht="12.75" customHeight="1" x14ac:dyDescent="0.45">
      <c r="A754" s="138"/>
      <c r="B754" s="138"/>
      <c r="C754" s="134"/>
      <c r="D754" s="134"/>
      <c r="E754" s="134"/>
      <c r="F754" s="134"/>
      <c r="G754" s="134"/>
      <c r="H754" s="134"/>
      <c r="I754" s="134"/>
    </row>
    <row r="755" spans="1:9" ht="12.75" customHeight="1" x14ac:dyDescent="0.45">
      <c r="A755" s="138"/>
      <c r="B755" s="138"/>
      <c r="C755" s="134"/>
      <c r="D755" s="134"/>
      <c r="E755" s="134"/>
      <c r="F755" s="134"/>
      <c r="G755" s="134"/>
      <c r="H755" s="134"/>
      <c r="I755" s="134"/>
    </row>
    <row r="756" spans="1:9" ht="12.75" customHeight="1" x14ac:dyDescent="0.45">
      <c r="A756" s="138"/>
      <c r="B756" s="138"/>
      <c r="C756" s="134"/>
      <c r="D756" s="134"/>
      <c r="E756" s="134"/>
      <c r="F756" s="134"/>
      <c r="G756" s="134"/>
      <c r="H756" s="134"/>
      <c r="I756" s="134"/>
    </row>
    <row r="757" spans="1:9" ht="12.75" customHeight="1" x14ac:dyDescent="0.45">
      <c r="A757" s="138"/>
      <c r="B757" s="138"/>
      <c r="C757" s="134"/>
      <c r="D757" s="134"/>
      <c r="E757" s="134"/>
      <c r="F757" s="134"/>
      <c r="G757" s="134"/>
      <c r="H757" s="134"/>
      <c r="I757" s="134"/>
    </row>
    <row r="758" spans="1:9" ht="12.75" customHeight="1" x14ac:dyDescent="0.45">
      <c r="A758" s="138"/>
      <c r="B758" s="138"/>
      <c r="C758" s="134"/>
      <c r="D758" s="134"/>
      <c r="E758" s="134"/>
      <c r="F758" s="134"/>
      <c r="G758" s="134"/>
      <c r="H758" s="134"/>
      <c r="I758" s="134"/>
    </row>
    <row r="759" spans="1:9" ht="12.75" customHeight="1" x14ac:dyDescent="0.45">
      <c r="A759" s="138"/>
      <c r="B759" s="138"/>
      <c r="C759" s="134"/>
      <c r="D759" s="134"/>
      <c r="E759" s="134"/>
      <c r="F759" s="134"/>
      <c r="G759" s="134"/>
      <c r="H759" s="134"/>
      <c r="I759" s="134"/>
    </row>
    <row r="760" spans="1:9" ht="12.75" customHeight="1" x14ac:dyDescent="0.45">
      <c r="A760" s="138"/>
      <c r="B760" s="138"/>
      <c r="C760" s="134"/>
      <c r="D760" s="134"/>
      <c r="E760" s="134"/>
      <c r="F760" s="134"/>
      <c r="G760" s="134"/>
      <c r="H760" s="134"/>
      <c r="I760" s="134"/>
    </row>
    <row r="761" spans="1:9" ht="12.75" customHeight="1" x14ac:dyDescent="0.45">
      <c r="A761" s="138"/>
      <c r="B761" s="138"/>
      <c r="C761" s="134"/>
      <c r="D761" s="134"/>
      <c r="E761" s="134"/>
      <c r="F761" s="134"/>
      <c r="G761" s="134"/>
      <c r="H761" s="134"/>
      <c r="I761" s="134"/>
    </row>
    <row r="762" spans="1:9" ht="12.75" customHeight="1" x14ac:dyDescent="0.45">
      <c r="A762" s="138"/>
      <c r="B762" s="138"/>
      <c r="C762" s="134"/>
      <c r="D762" s="134"/>
      <c r="E762" s="134"/>
      <c r="F762" s="134"/>
      <c r="G762" s="134"/>
      <c r="H762" s="134"/>
      <c r="I762" s="134"/>
    </row>
    <row r="763" spans="1:9" ht="12.75" customHeight="1" x14ac:dyDescent="0.45">
      <c r="A763" s="138"/>
      <c r="B763" s="138"/>
      <c r="C763" s="134"/>
      <c r="D763" s="134"/>
      <c r="E763" s="134"/>
      <c r="F763" s="134"/>
      <c r="G763" s="134"/>
      <c r="H763" s="134"/>
      <c r="I763" s="134"/>
    </row>
    <row r="764" spans="1:9" ht="12.75" customHeight="1" x14ac:dyDescent="0.45">
      <c r="A764" s="138"/>
      <c r="B764" s="138"/>
      <c r="C764" s="134"/>
      <c r="D764" s="134"/>
      <c r="E764" s="134"/>
      <c r="F764" s="134"/>
      <c r="G764" s="134"/>
      <c r="H764" s="134"/>
      <c r="I764" s="134"/>
    </row>
    <row r="765" spans="1:9" ht="12.75" customHeight="1" x14ac:dyDescent="0.45">
      <c r="A765" s="138"/>
      <c r="B765" s="138"/>
      <c r="C765" s="134"/>
      <c r="D765" s="134"/>
      <c r="E765" s="134"/>
      <c r="F765" s="134"/>
      <c r="G765" s="134"/>
      <c r="H765" s="134"/>
      <c r="I765" s="134"/>
    </row>
    <row r="766" spans="1:9" ht="12.75" customHeight="1" x14ac:dyDescent="0.45">
      <c r="A766" s="138"/>
      <c r="B766" s="138"/>
      <c r="C766" s="134"/>
      <c r="D766" s="134"/>
      <c r="E766" s="134"/>
      <c r="F766" s="134"/>
      <c r="G766" s="134"/>
      <c r="H766" s="134"/>
      <c r="I766" s="134"/>
    </row>
    <row r="767" spans="1:9" ht="12.75" customHeight="1" x14ac:dyDescent="0.45">
      <c r="A767" s="138"/>
      <c r="B767" s="138"/>
      <c r="C767" s="134"/>
      <c r="D767" s="134"/>
      <c r="E767" s="134"/>
      <c r="F767" s="134"/>
      <c r="G767" s="134"/>
      <c r="H767" s="134"/>
      <c r="I767" s="134"/>
    </row>
    <row r="768" spans="1:9" ht="12.75" customHeight="1" x14ac:dyDescent="0.45">
      <c r="A768" s="138"/>
      <c r="B768" s="138"/>
      <c r="C768" s="134"/>
      <c r="D768" s="134"/>
      <c r="E768" s="134"/>
      <c r="F768" s="134"/>
      <c r="G768" s="134"/>
      <c r="H768" s="134"/>
      <c r="I768" s="134"/>
    </row>
    <row r="769" spans="1:9" ht="12.75" customHeight="1" x14ac:dyDescent="0.45">
      <c r="A769" s="138"/>
      <c r="B769" s="138"/>
      <c r="C769" s="134"/>
      <c r="D769" s="134"/>
      <c r="E769" s="134"/>
      <c r="F769" s="134"/>
      <c r="G769" s="134"/>
      <c r="H769" s="134"/>
      <c r="I769" s="134"/>
    </row>
    <row r="770" spans="1:9" ht="12.75" customHeight="1" x14ac:dyDescent="0.45">
      <c r="A770" s="138"/>
      <c r="B770" s="138"/>
      <c r="C770" s="134"/>
      <c r="D770" s="134"/>
      <c r="E770" s="134"/>
      <c r="F770" s="134"/>
      <c r="G770" s="134"/>
      <c r="H770" s="134"/>
      <c r="I770" s="134"/>
    </row>
    <row r="771" spans="1:9" ht="12.75" customHeight="1" x14ac:dyDescent="0.45">
      <c r="A771" s="138"/>
      <c r="B771" s="138"/>
      <c r="C771" s="134"/>
      <c r="D771" s="134"/>
      <c r="E771" s="134"/>
      <c r="F771" s="134"/>
      <c r="G771" s="134"/>
      <c r="H771" s="134"/>
      <c r="I771" s="134"/>
    </row>
    <row r="772" spans="1:9" ht="12.75" customHeight="1" x14ac:dyDescent="0.45">
      <c r="A772" s="138"/>
      <c r="B772" s="138"/>
      <c r="C772" s="134"/>
      <c r="D772" s="134"/>
      <c r="E772" s="134"/>
      <c r="F772" s="134"/>
      <c r="G772" s="134"/>
      <c r="H772" s="134"/>
      <c r="I772" s="134"/>
    </row>
    <row r="773" spans="1:9" ht="12.75" customHeight="1" x14ac:dyDescent="0.45">
      <c r="A773" s="138"/>
      <c r="B773" s="138"/>
      <c r="C773" s="134"/>
      <c r="D773" s="134"/>
      <c r="E773" s="134"/>
      <c r="F773" s="134"/>
      <c r="G773" s="134"/>
      <c r="H773" s="134"/>
      <c r="I773" s="134"/>
    </row>
    <row r="774" spans="1:9" ht="12.75" customHeight="1" x14ac:dyDescent="0.45">
      <c r="A774" s="138"/>
      <c r="B774" s="138"/>
      <c r="C774" s="134"/>
      <c r="D774" s="134"/>
      <c r="E774" s="134"/>
      <c r="F774" s="134"/>
      <c r="G774" s="134"/>
      <c r="H774" s="134"/>
      <c r="I774" s="134"/>
    </row>
    <row r="775" spans="1:9" ht="12.75" customHeight="1" x14ac:dyDescent="0.45">
      <c r="A775" s="138"/>
      <c r="B775" s="138"/>
      <c r="C775" s="134"/>
      <c r="D775" s="134"/>
      <c r="E775" s="134"/>
      <c r="F775" s="134"/>
      <c r="G775" s="134"/>
      <c r="H775" s="134"/>
      <c r="I775" s="134"/>
    </row>
    <row r="776" spans="1:9" ht="12.75" customHeight="1" x14ac:dyDescent="0.45">
      <c r="A776" s="138"/>
      <c r="B776" s="138"/>
      <c r="C776" s="134"/>
      <c r="D776" s="134"/>
      <c r="E776" s="134"/>
      <c r="F776" s="134"/>
      <c r="G776" s="134"/>
      <c r="H776" s="134"/>
      <c r="I776" s="134"/>
    </row>
    <row r="777" spans="1:9" ht="12.75" customHeight="1" x14ac:dyDescent="0.45">
      <c r="A777" s="138"/>
      <c r="B777" s="138"/>
      <c r="C777" s="134"/>
      <c r="D777" s="134"/>
      <c r="E777" s="134"/>
      <c r="F777" s="134"/>
      <c r="G777" s="134"/>
      <c r="H777" s="134"/>
      <c r="I777" s="134"/>
    </row>
    <row r="778" spans="1:9" ht="12.75" customHeight="1" x14ac:dyDescent="0.45">
      <c r="A778" s="138"/>
      <c r="B778" s="138"/>
      <c r="C778" s="134"/>
      <c r="D778" s="134"/>
      <c r="E778" s="134"/>
      <c r="F778" s="134"/>
      <c r="G778" s="134"/>
      <c r="H778" s="134"/>
      <c r="I778" s="134"/>
    </row>
    <row r="779" spans="1:9" ht="12.75" customHeight="1" x14ac:dyDescent="0.45">
      <c r="A779" s="138"/>
      <c r="B779" s="138"/>
      <c r="C779" s="134"/>
      <c r="D779" s="134"/>
      <c r="E779" s="134"/>
      <c r="F779" s="134"/>
      <c r="G779" s="134"/>
      <c r="H779" s="134"/>
      <c r="I779" s="134"/>
    </row>
    <row r="780" spans="1:9" ht="12.75" customHeight="1" x14ac:dyDescent="0.45">
      <c r="A780" s="138"/>
      <c r="B780" s="138"/>
      <c r="C780" s="134"/>
      <c r="D780" s="134"/>
      <c r="E780" s="134"/>
      <c r="F780" s="134"/>
      <c r="G780" s="134"/>
      <c r="H780" s="134"/>
      <c r="I780" s="134"/>
    </row>
    <row r="781" spans="1:9" ht="12.75" customHeight="1" x14ac:dyDescent="0.45">
      <c r="A781" s="138"/>
      <c r="B781" s="138"/>
      <c r="C781" s="134"/>
      <c r="D781" s="134"/>
      <c r="E781" s="134"/>
      <c r="F781" s="134"/>
      <c r="G781" s="134"/>
      <c r="H781" s="134"/>
      <c r="I781" s="134"/>
    </row>
    <row r="782" spans="1:9" ht="12.75" customHeight="1" x14ac:dyDescent="0.45">
      <c r="A782" s="138"/>
      <c r="B782" s="138"/>
      <c r="C782" s="134"/>
      <c r="D782" s="134"/>
      <c r="E782" s="134"/>
      <c r="F782" s="134"/>
      <c r="G782" s="134"/>
      <c r="H782" s="134"/>
      <c r="I782" s="134"/>
    </row>
    <row r="783" spans="1:9" ht="12.75" customHeight="1" x14ac:dyDescent="0.45">
      <c r="A783" s="138"/>
      <c r="B783" s="138"/>
      <c r="C783" s="134"/>
      <c r="D783" s="134"/>
      <c r="E783" s="134"/>
      <c r="F783" s="134"/>
      <c r="G783" s="134"/>
      <c r="H783" s="134"/>
      <c r="I783" s="134"/>
    </row>
    <row r="784" spans="1:9" ht="12.75" customHeight="1" x14ac:dyDescent="0.45">
      <c r="A784" s="138"/>
      <c r="B784" s="138"/>
      <c r="C784" s="134"/>
      <c r="D784" s="134"/>
      <c r="E784" s="134"/>
      <c r="F784" s="134"/>
      <c r="G784" s="134"/>
      <c r="H784" s="134"/>
      <c r="I784" s="134"/>
    </row>
    <row r="785" spans="1:9" ht="12.75" customHeight="1" x14ac:dyDescent="0.45">
      <c r="A785" s="138"/>
      <c r="B785" s="138"/>
      <c r="C785" s="134"/>
      <c r="D785" s="134"/>
      <c r="E785" s="134"/>
      <c r="F785" s="134"/>
      <c r="G785" s="134"/>
      <c r="H785" s="134"/>
      <c r="I785" s="134"/>
    </row>
    <row r="786" spans="1:9" ht="12.75" customHeight="1" x14ac:dyDescent="0.45">
      <c r="A786" s="138"/>
      <c r="B786" s="138"/>
      <c r="C786" s="134"/>
      <c r="D786" s="134"/>
      <c r="E786" s="134"/>
      <c r="F786" s="134"/>
      <c r="G786" s="134"/>
      <c r="H786" s="134"/>
      <c r="I786" s="134"/>
    </row>
    <row r="787" spans="1:9" ht="12.75" customHeight="1" x14ac:dyDescent="0.45">
      <c r="A787" s="138"/>
      <c r="B787" s="138"/>
      <c r="C787" s="134"/>
      <c r="D787" s="134"/>
      <c r="E787" s="134"/>
      <c r="F787" s="134"/>
      <c r="G787" s="134"/>
      <c r="H787" s="134"/>
      <c r="I787" s="134"/>
    </row>
    <row r="788" spans="1:9" ht="12.75" customHeight="1" x14ac:dyDescent="0.45">
      <c r="A788" s="138"/>
      <c r="B788" s="138"/>
      <c r="C788" s="134"/>
      <c r="D788" s="134"/>
      <c r="E788" s="134"/>
      <c r="F788" s="134"/>
      <c r="G788" s="134"/>
      <c r="H788" s="134"/>
      <c r="I788" s="134"/>
    </row>
    <row r="789" spans="1:9" ht="12.75" customHeight="1" x14ac:dyDescent="0.45">
      <c r="A789" s="138"/>
      <c r="B789" s="138"/>
      <c r="C789" s="134"/>
      <c r="D789" s="134"/>
      <c r="E789" s="134"/>
      <c r="F789" s="134"/>
      <c r="G789" s="134"/>
      <c r="H789" s="134"/>
      <c r="I789" s="134"/>
    </row>
    <row r="790" spans="1:9" ht="12.75" customHeight="1" x14ac:dyDescent="0.45">
      <c r="A790" s="138"/>
      <c r="B790" s="138"/>
      <c r="C790" s="134"/>
      <c r="D790" s="134"/>
      <c r="E790" s="134"/>
      <c r="F790" s="134"/>
      <c r="G790" s="134"/>
      <c r="H790" s="134"/>
      <c r="I790" s="134"/>
    </row>
    <row r="791" spans="1:9" ht="12.75" customHeight="1" x14ac:dyDescent="0.45">
      <c r="A791" s="138"/>
      <c r="B791" s="138"/>
      <c r="C791" s="134"/>
      <c r="D791" s="134"/>
      <c r="E791" s="134"/>
      <c r="F791" s="134"/>
      <c r="G791" s="134"/>
      <c r="H791" s="134"/>
      <c r="I791" s="134"/>
    </row>
    <row r="792" spans="1:9" ht="12.75" customHeight="1" x14ac:dyDescent="0.45">
      <c r="A792" s="138"/>
      <c r="B792" s="138"/>
      <c r="C792" s="134"/>
      <c r="D792" s="134"/>
      <c r="E792" s="134"/>
      <c r="F792" s="134"/>
      <c r="G792" s="134"/>
      <c r="H792" s="134"/>
      <c r="I792" s="134"/>
    </row>
    <row r="793" spans="1:9" ht="12.75" customHeight="1" x14ac:dyDescent="0.45">
      <c r="A793" s="138"/>
      <c r="B793" s="138"/>
      <c r="C793" s="134"/>
      <c r="D793" s="134"/>
      <c r="E793" s="134"/>
      <c r="F793" s="134"/>
      <c r="G793" s="134"/>
      <c r="H793" s="134"/>
      <c r="I793" s="134"/>
    </row>
    <row r="794" spans="1:9" ht="12.75" customHeight="1" x14ac:dyDescent="0.45">
      <c r="A794" s="138"/>
      <c r="B794" s="138"/>
      <c r="C794" s="134"/>
      <c r="D794" s="134"/>
      <c r="E794" s="134"/>
      <c r="F794" s="134"/>
      <c r="G794" s="134"/>
      <c r="H794" s="134"/>
      <c r="I794" s="134"/>
    </row>
    <row r="795" spans="1:9" ht="12.75" customHeight="1" x14ac:dyDescent="0.45">
      <c r="A795" s="138"/>
      <c r="B795" s="138"/>
      <c r="C795" s="134"/>
      <c r="D795" s="134"/>
      <c r="E795" s="134"/>
      <c r="F795" s="134"/>
      <c r="G795" s="134"/>
      <c r="H795" s="134"/>
      <c r="I795" s="134"/>
    </row>
    <row r="796" spans="1:9" ht="12.75" customHeight="1" x14ac:dyDescent="0.45">
      <c r="A796" s="138"/>
      <c r="B796" s="138"/>
      <c r="C796" s="134"/>
      <c r="D796" s="134"/>
      <c r="E796" s="134"/>
      <c r="F796" s="134"/>
      <c r="G796" s="134"/>
      <c r="H796" s="134"/>
      <c r="I796" s="134"/>
    </row>
    <row r="797" spans="1:9" ht="12.75" customHeight="1" x14ac:dyDescent="0.45">
      <c r="A797" s="138"/>
      <c r="B797" s="138"/>
      <c r="C797" s="134"/>
      <c r="D797" s="134"/>
      <c r="E797" s="134"/>
      <c r="F797" s="134"/>
      <c r="G797" s="134"/>
      <c r="H797" s="134"/>
      <c r="I797" s="134"/>
    </row>
    <row r="798" spans="1:9" ht="12.75" customHeight="1" x14ac:dyDescent="0.45">
      <c r="A798" s="138"/>
      <c r="B798" s="138"/>
      <c r="C798" s="134"/>
      <c r="D798" s="134"/>
      <c r="E798" s="134"/>
      <c r="F798" s="134"/>
      <c r="G798" s="134"/>
      <c r="H798" s="134"/>
      <c r="I798" s="134"/>
    </row>
    <row r="799" spans="1:9" ht="12.75" customHeight="1" x14ac:dyDescent="0.45">
      <c r="A799" s="138"/>
      <c r="B799" s="138"/>
      <c r="C799" s="134"/>
      <c r="D799" s="134"/>
      <c r="E799" s="134"/>
      <c r="F799" s="134"/>
      <c r="G799" s="134"/>
      <c r="H799" s="134"/>
      <c r="I799" s="134"/>
    </row>
    <row r="800" spans="1:9" ht="12.75" customHeight="1" x14ac:dyDescent="0.45">
      <c r="A800" s="138"/>
      <c r="B800" s="138"/>
      <c r="C800" s="134"/>
      <c r="D800" s="134"/>
      <c r="E800" s="134"/>
      <c r="F800" s="134"/>
      <c r="G800" s="134"/>
      <c r="H800" s="134"/>
      <c r="I800" s="134"/>
    </row>
    <row r="801" spans="1:9" ht="12.75" customHeight="1" x14ac:dyDescent="0.45">
      <c r="A801" s="138"/>
      <c r="B801" s="138"/>
      <c r="C801" s="134"/>
      <c r="D801" s="134"/>
      <c r="E801" s="134"/>
      <c r="F801" s="134"/>
      <c r="G801" s="134"/>
      <c r="H801" s="134"/>
      <c r="I801" s="134"/>
    </row>
    <row r="802" spans="1:9" ht="12.75" customHeight="1" x14ac:dyDescent="0.45">
      <c r="A802" s="138"/>
      <c r="B802" s="138"/>
      <c r="C802" s="134"/>
      <c r="D802" s="134"/>
      <c r="E802" s="134"/>
      <c r="F802" s="134"/>
      <c r="G802" s="134"/>
      <c r="H802" s="134"/>
      <c r="I802" s="134"/>
    </row>
    <row r="803" spans="1:9" ht="12.75" customHeight="1" x14ac:dyDescent="0.45">
      <c r="A803" s="138"/>
      <c r="B803" s="138"/>
      <c r="C803" s="134"/>
      <c r="D803" s="134"/>
      <c r="E803" s="134"/>
      <c r="F803" s="134"/>
      <c r="G803" s="134"/>
      <c r="H803" s="134"/>
      <c r="I803" s="134"/>
    </row>
    <row r="804" spans="1:9" ht="12.75" customHeight="1" x14ac:dyDescent="0.45">
      <c r="A804" s="138"/>
      <c r="B804" s="138"/>
      <c r="C804" s="134"/>
      <c r="D804" s="134"/>
      <c r="E804" s="134"/>
      <c r="F804" s="134"/>
      <c r="G804" s="134"/>
      <c r="H804" s="134"/>
      <c r="I804" s="134"/>
    </row>
    <row r="805" spans="1:9" ht="12.75" customHeight="1" x14ac:dyDescent="0.45">
      <c r="A805" s="138"/>
      <c r="B805" s="138"/>
      <c r="C805" s="134"/>
      <c r="D805" s="134"/>
      <c r="E805" s="134"/>
      <c r="F805" s="134"/>
      <c r="G805" s="134"/>
      <c r="H805" s="134"/>
      <c r="I805" s="134"/>
    </row>
    <row r="806" spans="1:9" ht="12.75" customHeight="1" x14ac:dyDescent="0.45">
      <c r="A806" s="138"/>
      <c r="B806" s="138"/>
      <c r="C806" s="134"/>
      <c r="D806" s="134"/>
      <c r="E806" s="134"/>
      <c r="F806" s="134"/>
      <c r="G806" s="134"/>
      <c r="H806" s="134"/>
      <c r="I806" s="134"/>
    </row>
    <row r="807" spans="1:9" ht="12.75" customHeight="1" x14ac:dyDescent="0.45">
      <c r="A807" s="138"/>
      <c r="B807" s="138"/>
      <c r="C807" s="134"/>
      <c r="D807" s="134"/>
      <c r="E807" s="134"/>
      <c r="F807" s="134"/>
      <c r="G807" s="134"/>
      <c r="H807" s="134"/>
      <c r="I807" s="134"/>
    </row>
    <row r="808" spans="1:9" ht="12.75" customHeight="1" x14ac:dyDescent="0.45">
      <c r="A808" s="138"/>
      <c r="B808" s="138"/>
      <c r="C808" s="134"/>
      <c r="D808" s="134"/>
      <c r="E808" s="134"/>
      <c r="F808" s="134"/>
      <c r="G808" s="134"/>
      <c r="H808" s="134"/>
      <c r="I808" s="134"/>
    </row>
    <row r="809" spans="1:9" ht="12.75" customHeight="1" x14ac:dyDescent="0.45">
      <c r="A809" s="138"/>
      <c r="B809" s="138"/>
      <c r="C809" s="134"/>
      <c r="D809" s="134"/>
      <c r="E809" s="134"/>
      <c r="F809" s="134"/>
      <c r="G809" s="134"/>
      <c r="H809" s="134"/>
      <c r="I809" s="134"/>
    </row>
    <row r="810" spans="1:9" ht="12.75" customHeight="1" x14ac:dyDescent="0.45">
      <c r="A810" s="138"/>
      <c r="B810" s="138"/>
      <c r="C810" s="134"/>
      <c r="D810" s="134"/>
      <c r="E810" s="134"/>
      <c r="F810" s="134"/>
      <c r="G810" s="134"/>
      <c r="H810" s="134"/>
      <c r="I810" s="134"/>
    </row>
    <row r="811" spans="1:9" ht="12.75" customHeight="1" x14ac:dyDescent="0.45">
      <c r="A811" s="138"/>
      <c r="B811" s="138"/>
      <c r="C811" s="134"/>
      <c r="D811" s="134"/>
      <c r="E811" s="134"/>
      <c r="F811" s="134"/>
      <c r="G811" s="134"/>
      <c r="H811" s="134"/>
      <c r="I811" s="134"/>
    </row>
    <row r="812" spans="1:9" ht="12.75" customHeight="1" x14ac:dyDescent="0.45">
      <c r="A812" s="138"/>
      <c r="B812" s="138"/>
      <c r="C812" s="134"/>
      <c r="D812" s="134"/>
      <c r="E812" s="134"/>
      <c r="F812" s="134"/>
      <c r="G812" s="134"/>
      <c r="H812" s="134"/>
      <c r="I812" s="134"/>
    </row>
    <row r="813" spans="1:9" ht="12.75" customHeight="1" x14ac:dyDescent="0.45">
      <c r="A813" s="138"/>
      <c r="B813" s="138"/>
      <c r="C813" s="134"/>
      <c r="D813" s="134"/>
      <c r="E813" s="134"/>
      <c r="F813" s="134"/>
      <c r="G813" s="134"/>
      <c r="H813" s="134"/>
      <c r="I813" s="134"/>
    </row>
    <row r="814" spans="1:9" ht="12.75" customHeight="1" x14ac:dyDescent="0.45">
      <c r="A814" s="138"/>
      <c r="B814" s="138"/>
      <c r="C814" s="134"/>
      <c r="D814" s="134"/>
      <c r="E814" s="134"/>
      <c r="F814" s="134"/>
      <c r="G814" s="134"/>
      <c r="H814" s="134"/>
      <c r="I814" s="134"/>
    </row>
    <row r="815" spans="1:9" ht="12.75" customHeight="1" x14ac:dyDescent="0.45">
      <c r="A815" s="138"/>
      <c r="B815" s="138"/>
      <c r="C815" s="134"/>
      <c r="D815" s="134"/>
      <c r="E815" s="134"/>
      <c r="F815" s="134"/>
      <c r="G815" s="134"/>
      <c r="H815" s="134"/>
      <c r="I815" s="134"/>
    </row>
    <row r="816" spans="1:9" ht="12.75" customHeight="1" x14ac:dyDescent="0.45">
      <c r="A816" s="138"/>
      <c r="B816" s="138"/>
      <c r="C816" s="134"/>
      <c r="D816" s="134"/>
      <c r="E816" s="134"/>
      <c r="F816" s="134"/>
      <c r="G816" s="134"/>
      <c r="H816" s="134"/>
      <c r="I816" s="134"/>
    </row>
    <row r="817" spans="1:9" ht="12.75" customHeight="1" x14ac:dyDescent="0.45">
      <c r="A817" s="138"/>
      <c r="B817" s="138"/>
      <c r="C817" s="134"/>
      <c r="D817" s="134"/>
      <c r="E817" s="134"/>
      <c r="F817" s="134"/>
      <c r="G817" s="134"/>
      <c r="H817" s="134"/>
      <c r="I817" s="134"/>
    </row>
    <row r="818" spans="1:9" ht="12.75" customHeight="1" x14ac:dyDescent="0.45">
      <c r="A818" s="138"/>
      <c r="B818" s="138"/>
      <c r="C818" s="134"/>
      <c r="D818" s="134"/>
      <c r="E818" s="134"/>
      <c r="F818" s="134"/>
      <c r="G818" s="134"/>
      <c r="H818" s="134"/>
      <c r="I818" s="134"/>
    </row>
    <row r="819" spans="1:9" ht="12.75" customHeight="1" x14ac:dyDescent="0.45">
      <c r="A819" s="138"/>
      <c r="B819" s="138"/>
      <c r="C819" s="134"/>
      <c r="D819" s="134"/>
      <c r="E819" s="134"/>
      <c r="F819" s="134"/>
      <c r="G819" s="134"/>
      <c r="H819" s="134"/>
      <c r="I819" s="134"/>
    </row>
    <row r="820" spans="1:9" ht="12.75" customHeight="1" x14ac:dyDescent="0.45">
      <c r="A820" s="138"/>
      <c r="B820" s="138"/>
      <c r="C820" s="134"/>
      <c r="D820" s="134"/>
      <c r="E820" s="134"/>
      <c r="F820" s="134"/>
      <c r="G820" s="134"/>
      <c r="H820" s="134"/>
      <c r="I820" s="134"/>
    </row>
    <row r="821" spans="1:9" ht="12.75" customHeight="1" x14ac:dyDescent="0.45">
      <c r="A821" s="138"/>
      <c r="B821" s="138"/>
      <c r="C821" s="134"/>
      <c r="D821" s="134"/>
      <c r="E821" s="134"/>
      <c r="F821" s="134"/>
      <c r="G821" s="134"/>
      <c r="H821" s="134"/>
      <c r="I821" s="134"/>
    </row>
    <row r="822" spans="1:9" ht="12.75" customHeight="1" x14ac:dyDescent="0.45">
      <c r="A822" s="138"/>
      <c r="B822" s="138"/>
      <c r="C822" s="134"/>
      <c r="D822" s="134"/>
      <c r="E822" s="134"/>
      <c r="F822" s="134"/>
      <c r="G822" s="134"/>
      <c r="H822" s="134"/>
      <c r="I822" s="134"/>
    </row>
    <row r="823" spans="1:9" ht="12.75" customHeight="1" x14ac:dyDescent="0.45">
      <c r="A823" s="138"/>
      <c r="B823" s="138"/>
      <c r="C823" s="134"/>
      <c r="D823" s="134"/>
      <c r="E823" s="134"/>
      <c r="F823" s="134"/>
      <c r="G823" s="134"/>
      <c r="H823" s="134"/>
      <c r="I823" s="134"/>
    </row>
    <row r="824" spans="1:9" ht="12.75" customHeight="1" x14ac:dyDescent="0.45">
      <c r="A824" s="138"/>
      <c r="B824" s="138"/>
      <c r="C824" s="134"/>
      <c r="D824" s="134"/>
      <c r="E824" s="134"/>
      <c r="F824" s="134"/>
      <c r="G824" s="134"/>
      <c r="H824" s="134"/>
      <c r="I824" s="134"/>
    </row>
    <row r="825" spans="1:9" ht="12.75" customHeight="1" x14ac:dyDescent="0.45">
      <c r="A825" s="138"/>
      <c r="B825" s="138"/>
      <c r="C825" s="134"/>
      <c r="D825" s="134"/>
      <c r="E825" s="134"/>
      <c r="F825" s="134"/>
      <c r="G825" s="134"/>
      <c r="H825" s="134"/>
      <c r="I825" s="134"/>
    </row>
    <row r="826" spans="1:9" ht="12.75" customHeight="1" x14ac:dyDescent="0.45">
      <c r="A826" s="138"/>
      <c r="B826" s="138"/>
      <c r="C826" s="134"/>
      <c r="D826" s="134"/>
      <c r="E826" s="134"/>
      <c r="F826" s="134"/>
      <c r="G826" s="134"/>
      <c r="H826" s="134"/>
      <c r="I826" s="134"/>
    </row>
    <row r="827" spans="1:9" ht="12.75" customHeight="1" x14ac:dyDescent="0.45">
      <c r="A827" s="138"/>
      <c r="B827" s="138"/>
      <c r="C827" s="134"/>
      <c r="D827" s="134"/>
      <c r="E827" s="134"/>
      <c r="F827" s="134"/>
      <c r="G827" s="134"/>
      <c r="H827" s="134"/>
      <c r="I827" s="134"/>
    </row>
    <row r="828" spans="1:9" ht="12.75" customHeight="1" x14ac:dyDescent="0.45">
      <c r="A828" s="138"/>
      <c r="B828" s="138"/>
      <c r="C828" s="134"/>
      <c r="D828" s="134"/>
      <c r="E828" s="134"/>
      <c r="F828" s="134"/>
      <c r="G828" s="134"/>
      <c r="H828" s="134"/>
      <c r="I828" s="134"/>
    </row>
    <row r="829" spans="1:9" ht="12.75" customHeight="1" x14ac:dyDescent="0.45">
      <c r="A829" s="138"/>
      <c r="B829" s="138"/>
      <c r="C829" s="134"/>
      <c r="D829" s="134"/>
      <c r="E829" s="134"/>
      <c r="F829" s="134"/>
      <c r="G829" s="134"/>
      <c r="H829" s="134"/>
      <c r="I829" s="134"/>
    </row>
    <row r="830" spans="1:9" ht="12.75" customHeight="1" x14ac:dyDescent="0.45">
      <c r="A830" s="138"/>
      <c r="B830" s="138"/>
      <c r="C830" s="134"/>
      <c r="D830" s="134"/>
      <c r="E830" s="134"/>
      <c r="F830" s="134"/>
      <c r="G830" s="134"/>
      <c r="H830" s="134"/>
      <c r="I830" s="134"/>
    </row>
    <row r="831" spans="1:9" ht="12.75" customHeight="1" x14ac:dyDescent="0.45">
      <c r="A831" s="138"/>
      <c r="B831" s="138"/>
      <c r="C831" s="134"/>
      <c r="D831" s="134"/>
      <c r="E831" s="134"/>
      <c r="F831" s="134"/>
      <c r="G831" s="134"/>
      <c r="H831" s="134"/>
      <c r="I831" s="134"/>
    </row>
    <row r="832" spans="1:9" ht="12.75" customHeight="1" x14ac:dyDescent="0.45">
      <c r="A832" s="138"/>
      <c r="B832" s="138"/>
      <c r="C832" s="134"/>
      <c r="D832" s="134"/>
      <c r="E832" s="134"/>
      <c r="F832" s="134"/>
      <c r="G832" s="134"/>
      <c r="H832" s="134"/>
      <c r="I832" s="134"/>
    </row>
    <row r="833" spans="1:9" ht="12.75" customHeight="1" x14ac:dyDescent="0.45">
      <c r="A833" s="138"/>
      <c r="B833" s="138"/>
      <c r="C833" s="134"/>
      <c r="D833" s="134"/>
      <c r="E833" s="134"/>
      <c r="F833" s="134"/>
      <c r="G833" s="134"/>
      <c r="H833" s="134"/>
      <c r="I833" s="134"/>
    </row>
    <row r="834" spans="1:9" ht="12.75" customHeight="1" x14ac:dyDescent="0.45">
      <c r="A834" s="138"/>
      <c r="B834" s="138"/>
      <c r="C834" s="134"/>
      <c r="D834" s="134"/>
      <c r="E834" s="134"/>
      <c r="F834" s="134"/>
      <c r="G834" s="134"/>
      <c r="H834" s="134"/>
      <c r="I834" s="134"/>
    </row>
    <row r="835" spans="1:9" ht="12.75" customHeight="1" x14ac:dyDescent="0.45">
      <c r="A835" s="138"/>
      <c r="B835" s="138"/>
      <c r="C835" s="134"/>
      <c r="D835" s="134"/>
      <c r="E835" s="134"/>
      <c r="F835" s="134"/>
      <c r="G835" s="134"/>
      <c r="H835" s="134"/>
      <c r="I835" s="134"/>
    </row>
    <row r="836" spans="1:9" ht="12.75" customHeight="1" x14ac:dyDescent="0.45">
      <c r="A836" s="138"/>
      <c r="B836" s="138"/>
      <c r="C836" s="134"/>
      <c r="D836" s="134"/>
      <c r="E836" s="134"/>
      <c r="F836" s="134"/>
      <c r="G836" s="134"/>
      <c r="H836" s="134"/>
      <c r="I836" s="134"/>
    </row>
    <row r="837" spans="1:9" ht="12.75" customHeight="1" x14ac:dyDescent="0.45">
      <c r="A837" s="138"/>
      <c r="B837" s="138"/>
      <c r="C837" s="134"/>
      <c r="D837" s="134"/>
      <c r="E837" s="134"/>
      <c r="F837" s="134"/>
      <c r="G837" s="134"/>
      <c r="H837" s="134"/>
      <c r="I837" s="134"/>
    </row>
    <row r="838" spans="1:9" ht="12.75" customHeight="1" x14ac:dyDescent="0.45">
      <c r="A838" s="138"/>
      <c r="B838" s="138"/>
      <c r="C838" s="134"/>
      <c r="D838" s="134"/>
      <c r="E838" s="134"/>
      <c r="F838" s="134"/>
      <c r="G838" s="134"/>
      <c r="H838" s="134"/>
      <c r="I838" s="134"/>
    </row>
    <row r="839" spans="1:9" ht="12.75" customHeight="1" x14ac:dyDescent="0.45">
      <c r="A839" s="138"/>
      <c r="B839" s="138"/>
      <c r="C839" s="134"/>
      <c r="D839" s="134"/>
      <c r="E839" s="134"/>
      <c r="F839" s="134"/>
      <c r="G839" s="134"/>
      <c r="H839" s="134"/>
      <c r="I839" s="134"/>
    </row>
    <row r="840" spans="1:9" ht="12.75" customHeight="1" x14ac:dyDescent="0.45">
      <c r="A840" s="138"/>
      <c r="B840" s="138"/>
      <c r="C840" s="134"/>
      <c r="D840" s="134"/>
      <c r="E840" s="134"/>
      <c r="F840" s="134"/>
      <c r="G840" s="134"/>
      <c r="H840" s="134"/>
      <c r="I840" s="134"/>
    </row>
    <row r="841" spans="1:9" ht="12.75" customHeight="1" x14ac:dyDescent="0.45">
      <c r="A841" s="138"/>
      <c r="B841" s="138"/>
      <c r="C841" s="134"/>
      <c r="D841" s="134"/>
      <c r="E841" s="134"/>
      <c r="F841" s="134"/>
      <c r="G841" s="134"/>
      <c r="H841" s="134"/>
      <c r="I841" s="134"/>
    </row>
    <row r="842" spans="1:9" ht="12.75" customHeight="1" x14ac:dyDescent="0.45">
      <c r="A842" s="138"/>
      <c r="B842" s="138"/>
      <c r="C842" s="134"/>
      <c r="D842" s="134"/>
      <c r="E842" s="134"/>
      <c r="F842" s="134"/>
      <c r="G842" s="134"/>
      <c r="H842" s="134"/>
      <c r="I842" s="134"/>
    </row>
    <row r="843" spans="1:9" ht="12.75" customHeight="1" x14ac:dyDescent="0.45">
      <c r="A843" s="138"/>
      <c r="B843" s="138"/>
      <c r="C843" s="134"/>
      <c r="D843" s="134"/>
      <c r="E843" s="134"/>
      <c r="F843" s="134"/>
      <c r="G843" s="134"/>
      <c r="H843" s="134"/>
      <c r="I843" s="134"/>
    </row>
    <row r="844" spans="1:9" ht="12.75" customHeight="1" x14ac:dyDescent="0.45">
      <c r="A844" s="138"/>
      <c r="B844" s="138"/>
      <c r="C844" s="134"/>
      <c r="D844" s="134"/>
      <c r="E844" s="134"/>
      <c r="F844" s="134"/>
      <c r="G844" s="134"/>
      <c r="H844" s="134"/>
      <c r="I844" s="134"/>
    </row>
    <row r="845" spans="1:9" ht="12.75" customHeight="1" x14ac:dyDescent="0.45">
      <c r="A845" s="138"/>
      <c r="B845" s="138"/>
      <c r="C845" s="134"/>
      <c r="D845" s="134"/>
      <c r="E845" s="134"/>
      <c r="F845" s="134"/>
      <c r="G845" s="134"/>
      <c r="H845" s="134"/>
      <c r="I845" s="134"/>
    </row>
    <row r="846" spans="1:9" ht="12.75" customHeight="1" x14ac:dyDescent="0.45">
      <c r="A846" s="138"/>
      <c r="B846" s="138"/>
      <c r="C846" s="134"/>
      <c r="D846" s="134"/>
      <c r="E846" s="134"/>
      <c r="F846" s="134"/>
      <c r="G846" s="134"/>
      <c r="H846" s="134"/>
      <c r="I846" s="134"/>
    </row>
    <row r="847" spans="1:9" ht="12.75" customHeight="1" x14ac:dyDescent="0.45">
      <c r="A847" s="138"/>
      <c r="B847" s="138"/>
      <c r="C847" s="134"/>
      <c r="D847" s="134"/>
      <c r="E847" s="134"/>
      <c r="F847" s="134"/>
      <c r="G847" s="134"/>
      <c r="H847" s="134"/>
      <c r="I847" s="134"/>
    </row>
    <row r="848" spans="1:9" ht="12.75" customHeight="1" x14ac:dyDescent="0.45">
      <c r="A848" s="138"/>
      <c r="B848" s="138"/>
      <c r="C848" s="134"/>
      <c r="D848" s="134"/>
      <c r="E848" s="134"/>
      <c r="F848" s="134"/>
      <c r="G848" s="134"/>
      <c r="H848" s="134"/>
      <c r="I848" s="134"/>
    </row>
    <row r="849" spans="1:9" ht="12.75" customHeight="1" x14ac:dyDescent="0.45">
      <c r="A849" s="138"/>
      <c r="B849" s="138"/>
      <c r="C849" s="134"/>
      <c r="D849" s="134"/>
      <c r="E849" s="134"/>
      <c r="F849" s="134"/>
      <c r="G849" s="134"/>
      <c r="H849" s="134"/>
      <c r="I849" s="134"/>
    </row>
    <row r="850" spans="1:9" ht="12.75" customHeight="1" x14ac:dyDescent="0.45">
      <c r="A850" s="138"/>
      <c r="B850" s="138"/>
      <c r="C850" s="134"/>
      <c r="D850" s="134"/>
      <c r="E850" s="134"/>
      <c r="F850" s="134"/>
      <c r="G850" s="134"/>
      <c r="H850" s="134"/>
      <c r="I850" s="134"/>
    </row>
    <row r="851" spans="1:9" ht="12.75" customHeight="1" x14ac:dyDescent="0.45">
      <c r="A851" s="138"/>
      <c r="B851" s="138"/>
      <c r="C851" s="134"/>
      <c r="D851" s="134"/>
      <c r="E851" s="134"/>
      <c r="F851" s="134"/>
      <c r="G851" s="134"/>
      <c r="H851" s="134"/>
      <c r="I851" s="134"/>
    </row>
    <row r="852" spans="1:9" ht="12.75" customHeight="1" x14ac:dyDescent="0.45">
      <c r="A852" s="138"/>
      <c r="B852" s="138"/>
      <c r="C852" s="134"/>
      <c r="D852" s="134"/>
      <c r="E852" s="134"/>
      <c r="F852" s="134"/>
      <c r="G852" s="134"/>
      <c r="H852" s="134"/>
      <c r="I852" s="134"/>
    </row>
    <row r="853" spans="1:9" ht="12.75" customHeight="1" x14ac:dyDescent="0.45">
      <c r="A853" s="138"/>
      <c r="B853" s="138"/>
      <c r="C853" s="134"/>
      <c r="D853" s="134"/>
      <c r="E853" s="134"/>
      <c r="F853" s="134"/>
      <c r="G853" s="134"/>
      <c r="H853" s="134"/>
      <c r="I853" s="134"/>
    </row>
    <row r="854" spans="1:9" ht="12.75" customHeight="1" x14ac:dyDescent="0.45">
      <c r="A854" s="138"/>
      <c r="B854" s="138"/>
      <c r="C854" s="134"/>
      <c r="D854" s="134"/>
      <c r="E854" s="134"/>
      <c r="F854" s="134"/>
      <c r="G854" s="134"/>
      <c r="H854" s="134"/>
      <c r="I854" s="134"/>
    </row>
    <row r="855" spans="1:9" ht="12.75" customHeight="1" x14ac:dyDescent="0.45">
      <c r="A855" s="138"/>
      <c r="B855" s="138"/>
      <c r="C855" s="134"/>
      <c r="D855" s="134"/>
      <c r="E855" s="134"/>
      <c r="F855" s="134"/>
      <c r="G855" s="134"/>
      <c r="H855" s="134"/>
      <c r="I855" s="134"/>
    </row>
    <row r="856" spans="1:9" ht="12.75" customHeight="1" x14ac:dyDescent="0.45">
      <c r="A856" s="138"/>
      <c r="B856" s="138"/>
      <c r="C856" s="134"/>
      <c r="D856" s="134"/>
      <c r="E856" s="134"/>
      <c r="F856" s="134"/>
      <c r="G856" s="134"/>
      <c r="H856" s="134"/>
      <c r="I856" s="134"/>
    </row>
    <row r="857" spans="1:9" ht="12.75" customHeight="1" x14ac:dyDescent="0.45">
      <c r="A857" s="138"/>
      <c r="B857" s="138"/>
      <c r="C857" s="134"/>
      <c r="D857" s="134"/>
      <c r="E857" s="134"/>
      <c r="F857" s="134"/>
      <c r="G857" s="134"/>
      <c r="H857" s="134"/>
      <c r="I857" s="134"/>
    </row>
    <row r="858" spans="1:9" ht="12.75" customHeight="1" x14ac:dyDescent="0.45">
      <c r="A858" s="138"/>
      <c r="B858" s="138"/>
      <c r="C858" s="134"/>
      <c r="D858" s="134"/>
      <c r="E858" s="134"/>
      <c r="F858" s="134"/>
      <c r="G858" s="134"/>
      <c r="H858" s="134"/>
      <c r="I858" s="134"/>
    </row>
    <row r="859" spans="1:9" ht="12.75" customHeight="1" x14ac:dyDescent="0.45">
      <c r="A859" s="138"/>
      <c r="B859" s="138"/>
      <c r="C859" s="134"/>
      <c r="D859" s="134"/>
      <c r="E859" s="134"/>
      <c r="F859" s="134"/>
      <c r="G859" s="134"/>
      <c r="H859" s="134"/>
      <c r="I859" s="134"/>
    </row>
    <row r="860" spans="1:9" ht="12.75" customHeight="1" x14ac:dyDescent="0.45">
      <c r="A860" s="138"/>
      <c r="B860" s="138"/>
      <c r="C860" s="134"/>
      <c r="D860" s="134"/>
      <c r="E860" s="134"/>
      <c r="F860" s="134"/>
      <c r="G860" s="134"/>
      <c r="H860" s="134"/>
      <c r="I860" s="134"/>
    </row>
    <row r="861" spans="1:9" ht="12.75" customHeight="1" x14ac:dyDescent="0.45">
      <c r="A861" s="138"/>
      <c r="B861" s="138"/>
      <c r="C861" s="134"/>
      <c r="D861" s="134"/>
      <c r="E861" s="134"/>
      <c r="F861" s="134"/>
      <c r="G861" s="134"/>
      <c r="H861" s="134"/>
      <c r="I861" s="134"/>
    </row>
    <row r="862" spans="1:9" ht="12.75" customHeight="1" x14ac:dyDescent="0.45">
      <c r="A862" s="138"/>
      <c r="B862" s="138"/>
      <c r="C862" s="134"/>
      <c r="D862" s="134"/>
      <c r="E862" s="134"/>
      <c r="F862" s="134"/>
      <c r="G862" s="134"/>
      <c r="H862" s="134"/>
      <c r="I862" s="134"/>
    </row>
    <row r="863" spans="1:9" ht="12.75" customHeight="1" x14ac:dyDescent="0.45">
      <c r="A863" s="138"/>
      <c r="B863" s="138"/>
      <c r="C863" s="134"/>
      <c r="D863" s="134"/>
      <c r="E863" s="134"/>
      <c r="F863" s="134"/>
      <c r="G863" s="134"/>
      <c r="H863" s="134"/>
      <c r="I863" s="134"/>
    </row>
    <row r="864" spans="1:9" ht="12.75" customHeight="1" x14ac:dyDescent="0.45">
      <c r="A864" s="138"/>
      <c r="B864" s="138"/>
      <c r="C864" s="134"/>
      <c r="D864" s="134"/>
      <c r="E864" s="134"/>
      <c r="F864" s="134"/>
      <c r="G864" s="134"/>
      <c r="H864" s="134"/>
      <c r="I864" s="134"/>
    </row>
    <row r="865" spans="1:9" ht="12.75" customHeight="1" x14ac:dyDescent="0.45">
      <c r="A865" s="138"/>
      <c r="B865" s="138"/>
      <c r="C865" s="134"/>
      <c r="D865" s="134"/>
      <c r="E865" s="134"/>
      <c r="F865" s="134"/>
      <c r="G865" s="134"/>
      <c r="H865" s="134"/>
      <c r="I865" s="134"/>
    </row>
    <row r="866" spans="1:9" ht="12.75" customHeight="1" x14ac:dyDescent="0.45">
      <c r="A866" s="138"/>
      <c r="B866" s="138"/>
      <c r="C866" s="134"/>
      <c r="D866" s="134"/>
      <c r="E866" s="134"/>
      <c r="F866" s="134"/>
      <c r="G866" s="134"/>
      <c r="H866" s="134"/>
      <c r="I866" s="134"/>
    </row>
    <row r="867" spans="1:9" ht="12.75" customHeight="1" x14ac:dyDescent="0.45">
      <c r="A867" s="138"/>
      <c r="B867" s="138"/>
      <c r="C867" s="134"/>
      <c r="D867" s="134"/>
      <c r="E867" s="134"/>
      <c r="F867" s="134"/>
      <c r="G867" s="134"/>
      <c r="H867" s="134"/>
      <c r="I867" s="134"/>
    </row>
    <row r="868" spans="1:9" ht="12.75" customHeight="1" x14ac:dyDescent="0.45">
      <c r="A868" s="138"/>
      <c r="B868" s="138"/>
      <c r="C868" s="134"/>
      <c r="D868" s="134"/>
      <c r="E868" s="134"/>
      <c r="F868" s="134"/>
      <c r="G868" s="134"/>
      <c r="H868" s="134"/>
      <c r="I868" s="134"/>
    </row>
    <row r="869" spans="1:9" ht="12.75" customHeight="1" x14ac:dyDescent="0.45">
      <c r="A869" s="138"/>
      <c r="B869" s="138"/>
      <c r="C869" s="134"/>
      <c r="D869" s="134"/>
      <c r="E869" s="134"/>
      <c r="F869" s="134"/>
      <c r="G869" s="134"/>
      <c r="H869" s="134"/>
      <c r="I869" s="134"/>
    </row>
    <row r="870" spans="1:9" ht="12.75" customHeight="1" x14ac:dyDescent="0.45">
      <c r="A870" s="138"/>
      <c r="B870" s="138"/>
      <c r="C870" s="134"/>
      <c r="D870" s="134"/>
      <c r="E870" s="134"/>
      <c r="F870" s="134"/>
      <c r="G870" s="134"/>
      <c r="H870" s="134"/>
      <c r="I870" s="134"/>
    </row>
    <row r="871" spans="1:9" ht="12.75" customHeight="1" x14ac:dyDescent="0.45">
      <c r="A871" s="138"/>
      <c r="B871" s="138"/>
      <c r="C871" s="134"/>
      <c r="D871" s="134"/>
      <c r="E871" s="134"/>
      <c r="F871" s="134"/>
      <c r="G871" s="134"/>
      <c r="H871" s="134"/>
      <c r="I871" s="134"/>
    </row>
    <row r="872" spans="1:9" ht="12.75" customHeight="1" x14ac:dyDescent="0.45">
      <c r="A872" s="138"/>
      <c r="B872" s="138"/>
      <c r="C872" s="134"/>
      <c r="D872" s="134"/>
      <c r="E872" s="134"/>
      <c r="F872" s="134"/>
      <c r="G872" s="134"/>
      <c r="H872" s="134"/>
      <c r="I872" s="134"/>
    </row>
    <row r="873" spans="1:9" ht="12.75" customHeight="1" x14ac:dyDescent="0.45">
      <c r="A873" s="138"/>
      <c r="B873" s="138"/>
      <c r="C873" s="134"/>
      <c r="D873" s="134"/>
      <c r="E873" s="134"/>
      <c r="F873" s="134"/>
      <c r="G873" s="134"/>
      <c r="H873" s="134"/>
      <c r="I873" s="134"/>
    </row>
    <row r="874" spans="1:9" ht="12.75" customHeight="1" x14ac:dyDescent="0.45">
      <c r="A874" s="138"/>
      <c r="B874" s="138"/>
      <c r="C874" s="134"/>
      <c r="D874" s="134"/>
      <c r="E874" s="134"/>
      <c r="F874" s="134"/>
      <c r="G874" s="134"/>
      <c r="H874" s="134"/>
      <c r="I874" s="134"/>
    </row>
    <row r="875" spans="1:9" ht="12.75" customHeight="1" x14ac:dyDescent="0.45">
      <c r="A875" s="138"/>
      <c r="B875" s="138"/>
      <c r="C875" s="134"/>
      <c r="D875" s="134"/>
      <c r="E875" s="134"/>
      <c r="F875" s="134"/>
      <c r="G875" s="134"/>
      <c r="H875" s="134"/>
      <c r="I875" s="134"/>
    </row>
    <row r="876" spans="1:9" ht="12.75" customHeight="1" x14ac:dyDescent="0.45">
      <c r="A876" s="138"/>
      <c r="B876" s="138"/>
      <c r="C876" s="134"/>
      <c r="D876" s="134"/>
      <c r="E876" s="134"/>
      <c r="F876" s="134"/>
      <c r="G876" s="134"/>
      <c r="H876" s="134"/>
      <c r="I876" s="134"/>
    </row>
    <row r="877" spans="1:9" ht="12.75" customHeight="1" x14ac:dyDescent="0.45">
      <c r="A877" s="138"/>
      <c r="B877" s="138"/>
      <c r="C877" s="134"/>
      <c r="D877" s="134"/>
      <c r="E877" s="134"/>
      <c r="F877" s="134"/>
      <c r="G877" s="134"/>
      <c r="H877" s="134"/>
      <c r="I877" s="134"/>
    </row>
    <row r="878" spans="1:9" ht="12.75" customHeight="1" x14ac:dyDescent="0.45">
      <c r="A878" s="138"/>
      <c r="B878" s="138"/>
      <c r="C878" s="134"/>
      <c r="D878" s="134"/>
      <c r="E878" s="134"/>
      <c r="F878" s="134"/>
      <c r="G878" s="134"/>
      <c r="H878" s="134"/>
      <c r="I878" s="134"/>
    </row>
    <row r="879" spans="1:9" ht="12.75" customHeight="1" x14ac:dyDescent="0.45">
      <c r="A879" s="138"/>
      <c r="B879" s="138"/>
      <c r="C879" s="134"/>
      <c r="D879" s="134"/>
      <c r="E879" s="134"/>
      <c r="F879" s="134"/>
      <c r="G879" s="134"/>
      <c r="H879" s="134"/>
      <c r="I879" s="134"/>
    </row>
    <row r="880" spans="1:9" ht="12.75" customHeight="1" x14ac:dyDescent="0.45">
      <c r="A880" s="138"/>
      <c r="B880" s="138"/>
      <c r="C880" s="134"/>
      <c r="D880" s="134"/>
      <c r="E880" s="134"/>
      <c r="F880" s="134"/>
      <c r="G880" s="134"/>
      <c r="H880" s="134"/>
      <c r="I880" s="134"/>
    </row>
    <row r="881" spans="1:9" ht="12.75" customHeight="1" x14ac:dyDescent="0.45">
      <c r="A881" s="138"/>
      <c r="B881" s="138"/>
      <c r="C881" s="134"/>
      <c r="D881" s="134"/>
      <c r="E881" s="134"/>
      <c r="F881" s="134"/>
      <c r="G881" s="134"/>
      <c r="H881" s="134"/>
      <c r="I881" s="134"/>
    </row>
    <row r="882" spans="1:9" ht="12.75" customHeight="1" x14ac:dyDescent="0.45">
      <c r="A882" s="138"/>
      <c r="B882" s="138"/>
      <c r="C882" s="134"/>
      <c r="D882" s="134"/>
      <c r="E882" s="134"/>
      <c r="F882" s="134"/>
      <c r="G882" s="134"/>
      <c r="H882" s="134"/>
      <c r="I882" s="134"/>
    </row>
    <row r="883" spans="1:9" ht="12.75" customHeight="1" x14ac:dyDescent="0.45">
      <c r="A883" s="138"/>
      <c r="B883" s="138"/>
      <c r="C883" s="134"/>
      <c r="D883" s="134"/>
      <c r="E883" s="134"/>
      <c r="F883" s="134"/>
      <c r="G883" s="134"/>
      <c r="H883" s="134"/>
      <c r="I883" s="134"/>
    </row>
    <row r="884" spans="1:9" ht="12.75" customHeight="1" x14ac:dyDescent="0.45">
      <c r="A884" s="138"/>
      <c r="B884" s="138"/>
      <c r="C884" s="134"/>
      <c r="D884" s="134"/>
      <c r="E884" s="134"/>
      <c r="F884" s="134"/>
      <c r="G884" s="134"/>
      <c r="H884" s="134"/>
      <c r="I884" s="134"/>
    </row>
    <row r="885" spans="1:9" ht="12.75" customHeight="1" x14ac:dyDescent="0.45">
      <c r="A885" s="138"/>
      <c r="B885" s="138"/>
      <c r="C885" s="134"/>
      <c r="D885" s="134"/>
      <c r="E885" s="134"/>
      <c r="F885" s="134"/>
      <c r="G885" s="134"/>
      <c r="H885" s="134"/>
      <c r="I885" s="134"/>
    </row>
    <row r="886" spans="1:9" ht="12.75" customHeight="1" x14ac:dyDescent="0.45">
      <c r="A886" s="138"/>
      <c r="B886" s="138"/>
      <c r="C886" s="134"/>
      <c r="D886" s="134"/>
      <c r="E886" s="134"/>
      <c r="F886" s="134"/>
      <c r="G886" s="134"/>
      <c r="H886" s="134"/>
      <c r="I886" s="134"/>
    </row>
    <row r="887" spans="1:9" ht="12.75" customHeight="1" x14ac:dyDescent="0.45">
      <c r="A887" s="138"/>
      <c r="B887" s="138"/>
      <c r="C887" s="134"/>
      <c r="D887" s="134"/>
      <c r="E887" s="134"/>
      <c r="F887" s="134"/>
      <c r="G887" s="134"/>
      <c r="H887" s="134"/>
      <c r="I887" s="134"/>
    </row>
    <row r="888" spans="1:9" ht="12.75" customHeight="1" x14ac:dyDescent="0.45">
      <c r="A888" s="138"/>
      <c r="B888" s="138"/>
      <c r="C888" s="134"/>
      <c r="D888" s="134"/>
      <c r="E888" s="134"/>
      <c r="F888" s="134"/>
      <c r="G888" s="134"/>
      <c r="H888" s="134"/>
      <c r="I888" s="134"/>
    </row>
    <row r="889" spans="1:9" ht="12.75" customHeight="1" x14ac:dyDescent="0.45">
      <c r="A889" s="138"/>
      <c r="B889" s="138"/>
      <c r="C889" s="134"/>
      <c r="D889" s="134"/>
      <c r="E889" s="134"/>
      <c r="F889" s="134"/>
      <c r="G889" s="134"/>
      <c r="H889" s="134"/>
      <c r="I889" s="134"/>
    </row>
    <row r="890" spans="1:9" ht="12.75" customHeight="1" x14ac:dyDescent="0.45">
      <c r="A890" s="138"/>
      <c r="B890" s="138"/>
      <c r="C890" s="134"/>
      <c r="D890" s="134"/>
      <c r="E890" s="134"/>
      <c r="F890" s="134"/>
      <c r="G890" s="134"/>
      <c r="H890" s="134"/>
      <c r="I890" s="134"/>
    </row>
    <row r="891" spans="1:9" ht="12.75" customHeight="1" x14ac:dyDescent="0.45">
      <c r="A891" s="138"/>
      <c r="B891" s="138"/>
      <c r="C891" s="134"/>
      <c r="D891" s="134"/>
      <c r="E891" s="134"/>
      <c r="F891" s="134"/>
      <c r="G891" s="134"/>
      <c r="H891" s="134"/>
      <c r="I891" s="134"/>
    </row>
    <row r="892" spans="1:9" ht="12.75" customHeight="1" x14ac:dyDescent="0.45">
      <c r="A892" s="138"/>
      <c r="B892" s="138"/>
      <c r="C892" s="134"/>
      <c r="D892" s="134"/>
      <c r="E892" s="134"/>
      <c r="F892" s="134"/>
      <c r="G892" s="134"/>
      <c r="H892" s="134"/>
      <c r="I892" s="134"/>
    </row>
    <row r="893" spans="1:9" ht="12.75" customHeight="1" x14ac:dyDescent="0.45">
      <c r="A893" s="138"/>
      <c r="B893" s="138"/>
      <c r="C893" s="134"/>
      <c r="D893" s="134"/>
      <c r="E893" s="134"/>
      <c r="F893" s="134"/>
      <c r="G893" s="134"/>
      <c r="H893" s="134"/>
      <c r="I893" s="134"/>
    </row>
    <row r="894" spans="1:9" ht="12.75" customHeight="1" x14ac:dyDescent="0.45">
      <c r="A894" s="138"/>
      <c r="B894" s="138"/>
      <c r="C894" s="134"/>
      <c r="D894" s="134"/>
      <c r="E894" s="134"/>
      <c r="F894" s="134"/>
      <c r="G894" s="134"/>
      <c r="H894" s="134"/>
      <c r="I894" s="134"/>
    </row>
    <row r="895" spans="1:9" ht="12.75" customHeight="1" x14ac:dyDescent="0.45">
      <c r="A895" s="138"/>
      <c r="B895" s="138"/>
      <c r="C895" s="134"/>
      <c r="D895" s="134"/>
      <c r="E895" s="134"/>
      <c r="F895" s="134"/>
      <c r="G895" s="134"/>
      <c r="H895" s="134"/>
      <c r="I895" s="134"/>
    </row>
    <row r="896" spans="1:9" ht="12.75" customHeight="1" x14ac:dyDescent="0.45">
      <c r="A896" s="138"/>
      <c r="B896" s="138"/>
      <c r="C896" s="134"/>
      <c r="D896" s="134"/>
      <c r="E896" s="134"/>
      <c r="F896" s="134"/>
      <c r="G896" s="134"/>
      <c r="H896" s="134"/>
      <c r="I896" s="134"/>
    </row>
    <row r="897" spans="1:9" ht="12.75" customHeight="1" x14ac:dyDescent="0.45">
      <c r="A897" s="138"/>
      <c r="B897" s="138"/>
      <c r="C897" s="134"/>
      <c r="D897" s="134"/>
      <c r="E897" s="134"/>
      <c r="F897" s="134"/>
      <c r="G897" s="134"/>
      <c r="H897" s="134"/>
      <c r="I897" s="134"/>
    </row>
    <row r="898" spans="1:9" ht="12.75" customHeight="1" x14ac:dyDescent="0.45">
      <c r="A898" s="138"/>
      <c r="B898" s="138"/>
      <c r="C898" s="134"/>
      <c r="D898" s="134"/>
      <c r="E898" s="134"/>
      <c r="F898" s="134"/>
      <c r="G898" s="134"/>
      <c r="H898" s="134"/>
      <c r="I898" s="134"/>
    </row>
    <row r="899" spans="1:9" ht="12.75" customHeight="1" x14ac:dyDescent="0.45">
      <c r="A899" s="138"/>
      <c r="B899" s="138"/>
      <c r="C899" s="134"/>
      <c r="D899" s="134"/>
      <c r="E899" s="134"/>
      <c r="F899" s="134"/>
      <c r="G899" s="134"/>
      <c r="H899" s="134"/>
      <c r="I899" s="134"/>
    </row>
    <row r="900" spans="1:9" ht="12.75" customHeight="1" x14ac:dyDescent="0.45">
      <c r="A900" s="138"/>
      <c r="B900" s="138"/>
      <c r="C900" s="134"/>
      <c r="D900" s="134"/>
      <c r="E900" s="134"/>
      <c r="F900" s="134"/>
      <c r="G900" s="134"/>
      <c r="H900" s="134"/>
      <c r="I900" s="134"/>
    </row>
    <row r="901" spans="1:9" ht="12.75" customHeight="1" x14ac:dyDescent="0.45">
      <c r="A901" s="138"/>
      <c r="B901" s="138"/>
      <c r="C901" s="134"/>
      <c r="D901" s="134"/>
      <c r="E901" s="134"/>
      <c r="F901" s="134"/>
      <c r="G901" s="134"/>
      <c r="H901" s="134"/>
      <c r="I901" s="134"/>
    </row>
    <row r="902" spans="1:9" ht="12.75" customHeight="1" x14ac:dyDescent="0.45">
      <c r="A902" s="138"/>
      <c r="B902" s="138"/>
      <c r="C902" s="134"/>
      <c r="D902" s="134"/>
      <c r="E902" s="134"/>
      <c r="F902" s="134"/>
      <c r="G902" s="134"/>
      <c r="H902" s="134"/>
      <c r="I902" s="134"/>
    </row>
    <row r="903" spans="1:9" ht="12.75" customHeight="1" x14ac:dyDescent="0.45">
      <c r="A903" s="138"/>
      <c r="B903" s="138"/>
      <c r="C903" s="134"/>
      <c r="D903" s="134"/>
      <c r="E903" s="134"/>
      <c r="F903" s="134"/>
      <c r="G903" s="134"/>
      <c r="H903" s="134"/>
      <c r="I903" s="134"/>
    </row>
    <row r="904" spans="1:9" ht="12.75" customHeight="1" x14ac:dyDescent="0.45">
      <c r="A904" s="138"/>
      <c r="B904" s="138"/>
      <c r="C904" s="134"/>
      <c r="D904" s="134"/>
      <c r="E904" s="134"/>
      <c r="F904" s="134"/>
      <c r="G904" s="134"/>
      <c r="H904" s="134"/>
      <c r="I904" s="134"/>
    </row>
    <row r="905" spans="1:9" ht="12.75" customHeight="1" x14ac:dyDescent="0.45">
      <c r="A905" s="138"/>
      <c r="B905" s="138"/>
      <c r="C905" s="134"/>
      <c r="D905" s="134"/>
      <c r="E905" s="134"/>
      <c r="F905" s="134"/>
      <c r="G905" s="134"/>
      <c r="H905" s="134"/>
      <c r="I905" s="134"/>
    </row>
    <row r="906" spans="1:9" ht="12.75" customHeight="1" x14ac:dyDescent="0.45">
      <c r="A906" s="138"/>
      <c r="B906" s="138"/>
      <c r="C906" s="134"/>
      <c r="D906" s="134"/>
      <c r="E906" s="134"/>
      <c r="F906" s="134"/>
      <c r="G906" s="134"/>
      <c r="H906" s="134"/>
      <c r="I906" s="134"/>
    </row>
    <row r="907" spans="1:9" ht="12.75" customHeight="1" x14ac:dyDescent="0.45">
      <c r="A907" s="138"/>
      <c r="B907" s="138"/>
      <c r="C907" s="134"/>
      <c r="D907" s="134"/>
      <c r="E907" s="134"/>
      <c r="F907" s="134"/>
      <c r="G907" s="134"/>
      <c r="H907" s="134"/>
      <c r="I907" s="134"/>
    </row>
    <row r="908" spans="1:9" ht="12.75" customHeight="1" x14ac:dyDescent="0.45">
      <c r="A908" s="138"/>
      <c r="B908" s="138"/>
      <c r="C908" s="134"/>
      <c r="D908" s="134"/>
      <c r="E908" s="134"/>
      <c r="F908" s="134"/>
      <c r="G908" s="134"/>
      <c r="H908" s="134"/>
      <c r="I908" s="134"/>
    </row>
    <row r="909" spans="1:9" ht="12.75" customHeight="1" x14ac:dyDescent="0.45">
      <c r="A909" s="138"/>
      <c r="B909" s="138"/>
      <c r="C909" s="134"/>
      <c r="D909" s="134"/>
      <c r="E909" s="134"/>
      <c r="F909" s="134"/>
      <c r="G909" s="134"/>
      <c r="H909" s="134"/>
      <c r="I909" s="134"/>
    </row>
    <row r="910" spans="1:9" ht="12.75" customHeight="1" x14ac:dyDescent="0.45">
      <c r="A910" s="138"/>
      <c r="B910" s="138"/>
      <c r="C910" s="134"/>
      <c r="D910" s="134"/>
      <c r="E910" s="134"/>
      <c r="F910" s="134"/>
      <c r="G910" s="134"/>
      <c r="H910" s="134"/>
      <c r="I910" s="134"/>
    </row>
    <row r="911" spans="1:9" ht="12.75" customHeight="1" x14ac:dyDescent="0.45">
      <c r="A911" s="138"/>
      <c r="B911" s="138"/>
      <c r="C911" s="134"/>
      <c r="D911" s="134"/>
      <c r="E911" s="134"/>
      <c r="F911" s="134"/>
      <c r="G911" s="134"/>
      <c r="H911" s="134"/>
      <c r="I911" s="134"/>
    </row>
    <row r="912" spans="1:9" ht="12.75" customHeight="1" x14ac:dyDescent="0.45">
      <c r="A912" s="138"/>
      <c r="B912" s="138"/>
      <c r="C912" s="134"/>
      <c r="D912" s="134"/>
      <c r="E912" s="134"/>
      <c r="F912" s="134"/>
      <c r="G912" s="134"/>
      <c r="H912" s="134"/>
      <c r="I912" s="134"/>
    </row>
    <row r="913" spans="1:9" ht="12.75" customHeight="1" x14ac:dyDescent="0.45">
      <c r="A913" s="138"/>
      <c r="B913" s="138"/>
      <c r="C913" s="134"/>
      <c r="D913" s="134"/>
      <c r="E913" s="134"/>
      <c r="F913" s="134"/>
      <c r="G913" s="134"/>
      <c r="H913" s="134"/>
      <c r="I913" s="134"/>
    </row>
    <row r="914" spans="1:9" ht="12.75" customHeight="1" x14ac:dyDescent="0.45">
      <c r="A914" s="138"/>
      <c r="B914" s="138"/>
      <c r="C914" s="134"/>
      <c r="D914" s="134"/>
      <c r="E914" s="134"/>
      <c r="F914" s="134"/>
      <c r="G914" s="134"/>
      <c r="H914" s="134"/>
      <c r="I914" s="134"/>
    </row>
    <row r="915" spans="1:9" ht="12.75" customHeight="1" x14ac:dyDescent="0.45">
      <c r="A915" s="138"/>
      <c r="B915" s="138"/>
      <c r="C915" s="134"/>
      <c r="D915" s="134"/>
      <c r="E915" s="134"/>
      <c r="F915" s="134"/>
      <c r="G915" s="134"/>
      <c r="H915" s="134"/>
      <c r="I915" s="134"/>
    </row>
    <row r="916" spans="1:9" ht="12.75" customHeight="1" x14ac:dyDescent="0.45">
      <c r="A916" s="138"/>
      <c r="B916" s="138"/>
      <c r="C916" s="134"/>
      <c r="D916" s="134"/>
      <c r="E916" s="134"/>
      <c r="F916" s="134"/>
      <c r="G916" s="134"/>
      <c r="H916" s="134"/>
      <c r="I916" s="134"/>
    </row>
    <row r="917" spans="1:9" ht="12.75" customHeight="1" x14ac:dyDescent="0.45">
      <c r="A917" s="138"/>
      <c r="B917" s="138"/>
      <c r="C917" s="134"/>
      <c r="D917" s="134"/>
      <c r="E917" s="134"/>
      <c r="F917" s="134"/>
      <c r="G917" s="134"/>
      <c r="H917" s="134"/>
      <c r="I917" s="134"/>
    </row>
    <row r="918" spans="1:9" ht="12.75" customHeight="1" x14ac:dyDescent="0.45">
      <c r="A918" s="138"/>
      <c r="B918" s="138"/>
      <c r="C918" s="134"/>
      <c r="D918" s="134"/>
      <c r="E918" s="134"/>
      <c r="F918" s="134"/>
      <c r="G918" s="134"/>
      <c r="H918" s="134"/>
      <c r="I918" s="134"/>
    </row>
    <row r="919" spans="1:9" ht="12.75" customHeight="1" x14ac:dyDescent="0.45">
      <c r="A919" s="138"/>
      <c r="B919" s="138"/>
      <c r="C919" s="134"/>
      <c r="D919" s="134"/>
      <c r="E919" s="134"/>
      <c r="F919" s="134"/>
      <c r="G919" s="134"/>
      <c r="H919" s="134"/>
      <c r="I919" s="134"/>
    </row>
    <row r="920" spans="1:9" ht="12.75" customHeight="1" x14ac:dyDescent="0.45">
      <c r="A920" s="138"/>
      <c r="B920" s="138"/>
      <c r="C920" s="134"/>
      <c r="D920" s="134"/>
      <c r="E920" s="134"/>
      <c r="F920" s="134"/>
      <c r="G920" s="134"/>
      <c r="H920" s="134"/>
      <c r="I920" s="134"/>
    </row>
    <row r="921" spans="1:9" ht="12.75" customHeight="1" x14ac:dyDescent="0.45">
      <c r="A921" s="138"/>
      <c r="B921" s="138"/>
      <c r="C921" s="134"/>
      <c r="D921" s="134"/>
      <c r="E921" s="134"/>
      <c r="F921" s="134"/>
      <c r="G921" s="134"/>
      <c r="H921" s="134"/>
      <c r="I921" s="134"/>
    </row>
    <row r="922" spans="1:9" ht="12.75" customHeight="1" x14ac:dyDescent="0.45">
      <c r="A922" s="138"/>
      <c r="B922" s="138"/>
      <c r="C922" s="134"/>
      <c r="D922" s="134"/>
      <c r="E922" s="134"/>
      <c r="F922" s="134"/>
      <c r="G922" s="134"/>
      <c r="H922" s="134"/>
      <c r="I922" s="134"/>
    </row>
    <row r="923" spans="1:9" ht="12.75" customHeight="1" x14ac:dyDescent="0.45">
      <c r="A923" s="138"/>
      <c r="B923" s="138"/>
      <c r="C923" s="134"/>
      <c r="D923" s="134"/>
      <c r="E923" s="134"/>
      <c r="F923" s="134"/>
      <c r="G923" s="134"/>
      <c r="H923" s="134"/>
      <c r="I923" s="134"/>
    </row>
    <row r="924" spans="1:9" ht="12.75" customHeight="1" x14ac:dyDescent="0.45">
      <c r="A924" s="138"/>
      <c r="B924" s="138"/>
      <c r="C924" s="134"/>
      <c r="D924" s="134"/>
      <c r="E924" s="134"/>
      <c r="F924" s="134"/>
      <c r="G924" s="134"/>
      <c r="H924" s="134"/>
      <c r="I924" s="134"/>
    </row>
    <row r="925" spans="1:9" ht="12.75" customHeight="1" x14ac:dyDescent="0.45">
      <c r="A925" s="138"/>
      <c r="B925" s="138"/>
      <c r="C925" s="134"/>
      <c r="D925" s="134"/>
      <c r="E925" s="134"/>
      <c r="F925" s="134"/>
      <c r="G925" s="134"/>
      <c r="H925" s="134"/>
      <c r="I925" s="134"/>
    </row>
    <row r="926" spans="1:9" ht="12.75" customHeight="1" x14ac:dyDescent="0.45">
      <c r="A926" s="138"/>
      <c r="B926" s="138"/>
      <c r="C926" s="134"/>
      <c r="D926" s="134"/>
      <c r="E926" s="134"/>
      <c r="F926" s="134"/>
      <c r="G926" s="134"/>
      <c r="H926" s="134"/>
      <c r="I926" s="134"/>
    </row>
    <row r="927" spans="1:9" ht="12.75" customHeight="1" x14ac:dyDescent="0.45">
      <c r="A927" s="138"/>
      <c r="B927" s="138"/>
      <c r="C927" s="134"/>
      <c r="D927" s="134"/>
      <c r="E927" s="134"/>
      <c r="F927" s="134"/>
      <c r="G927" s="134"/>
      <c r="H927" s="134"/>
      <c r="I927" s="134"/>
    </row>
    <row r="928" spans="1:9" ht="12.75" customHeight="1" x14ac:dyDescent="0.45">
      <c r="A928" s="138"/>
      <c r="B928" s="138"/>
      <c r="C928" s="134"/>
      <c r="D928" s="134"/>
      <c r="E928" s="134"/>
      <c r="F928" s="134"/>
      <c r="G928" s="134"/>
      <c r="H928" s="134"/>
      <c r="I928" s="134"/>
    </row>
    <row r="929" spans="1:9" ht="12.75" customHeight="1" x14ac:dyDescent="0.45">
      <c r="A929" s="138"/>
      <c r="B929" s="138"/>
      <c r="C929" s="134"/>
      <c r="D929" s="134"/>
      <c r="E929" s="134"/>
      <c r="F929" s="134"/>
      <c r="G929" s="134"/>
      <c r="H929" s="134"/>
      <c r="I929" s="134"/>
    </row>
    <row r="930" spans="1:9" ht="12.75" customHeight="1" x14ac:dyDescent="0.45">
      <c r="A930" s="138"/>
      <c r="B930" s="138"/>
      <c r="C930" s="134"/>
      <c r="D930" s="134"/>
      <c r="E930" s="134"/>
      <c r="F930" s="134"/>
      <c r="G930" s="134"/>
      <c r="H930" s="134"/>
      <c r="I930" s="134"/>
    </row>
    <row r="931" spans="1:9" ht="12.75" customHeight="1" x14ac:dyDescent="0.45">
      <c r="A931" s="138"/>
      <c r="B931" s="138"/>
      <c r="C931" s="134"/>
      <c r="D931" s="134"/>
      <c r="E931" s="134"/>
      <c r="F931" s="134"/>
      <c r="G931" s="134"/>
      <c r="H931" s="134"/>
      <c r="I931" s="134"/>
    </row>
    <row r="932" spans="1:9" ht="12.75" customHeight="1" x14ac:dyDescent="0.45">
      <c r="A932" s="138"/>
      <c r="B932" s="138"/>
      <c r="C932" s="134"/>
      <c r="D932" s="134"/>
      <c r="E932" s="134"/>
      <c r="F932" s="134"/>
      <c r="G932" s="134"/>
      <c r="H932" s="134"/>
      <c r="I932" s="134"/>
    </row>
    <row r="933" spans="1:9" ht="12.75" customHeight="1" x14ac:dyDescent="0.45">
      <c r="A933" s="138"/>
      <c r="B933" s="138"/>
      <c r="C933" s="134"/>
      <c r="D933" s="134"/>
      <c r="E933" s="134"/>
      <c r="F933" s="134"/>
      <c r="G933" s="134"/>
      <c r="H933" s="134"/>
      <c r="I933" s="134"/>
    </row>
    <row r="934" spans="1:9" ht="12.75" customHeight="1" x14ac:dyDescent="0.45">
      <c r="A934" s="138"/>
      <c r="B934" s="138"/>
      <c r="C934" s="134"/>
      <c r="D934" s="134"/>
      <c r="E934" s="134"/>
      <c r="F934" s="134"/>
      <c r="G934" s="134"/>
      <c r="H934" s="134"/>
      <c r="I934" s="134"/>
    </row>
    <row r="935" spans="1:9" ht="12.75" customHeight="1" x14ac:dyDescent="0.45">
      <c r="A935" s="138"/>
      <c r="B935" s="138"/>
      <c r="C935" s="134"/>
      <c r="D935" s="134"/>
      <c r="E935" s="134"/>
      <c r="F935" s="134"/>
      <c r="G935" s="134"/>
      <c r="H935" s="134"/>
      <c r="I935" s="134"/>
    </row>
    <row r="936" spans="1:9" ht="12.75" customHeight="1" x14ac:dyDescent="0.45">
      <c r="A936" s="138"/>
      <c r="B936" s="138"/>
      <c r="C936" s="134"/>
      <c r="D936" s="134"/>
      <c r="E936" s="134"/>
      <c r="F936" s="134"/>
      <c r="G936" s="134"/>
      <c r="H936" s="134"/>
      <c r="I936" s="134"/>
    </row>
    <row r="937" spans="1:9" ht="12.75" customHeight="1" x14ac:dyDescent="0.45">
      <c r="A937" s="138"/>
      <c r="B937" s="138"/>
      <c r="C937" s="134"/>
      <c r="D937" s="134"/>
      <c r="E937" s="134"/>
      <c r="F937" s="134"/>
      <c r="G937" s="134"/>
      <c r="H937" s="134"/>
      <c r="I937" s="134"/>
    </row>
    <row r="938" spans="1:9" ht="12.75" customHeight="1" x14ac:dyDescent="0.45">
      <c r="A938" s="138"/>
      <c r="B938" s="138"/>
      <c r="C938" s="134"/>
      <c r="D938" s="134"/>
      <c r="E938" s="134"/>
      <c r="F938" s="134"/>
      <c r="G938" s="134"/>
      <c r="H938" s="134"/>
      <c r="I938" s="134"/>
    </row>
    <row r="939" spans="1:9" ht="12.75" customHeight="1" x14ac:dyDescent="0.45">
      <c r="A939" s="138"/>
      <c r="B939" s="138"/>
      <c r="C939" s="134"/>
      <c r="D939" s="134"/>
      <c r="E939" s="134"/>
      <c r="F939" s="134"/>
      <c r="G939" s="134"/>
      <c r="H939" s="134"/>
      <c r="I939" s="134"/>
    </row>
    <row r="940" spans="1:9" ht="12.75" customHeight="1" x14ac:dyDescent="0.45">
      <c r="A940" s="138"/>
      <c r="B940" s="138"/>
      <c r="C940" s="134"/>
      <c r="D940" s="134"/>
      <c r="E940" s="134"/>
      <c r="F940" s="134"/>
      <c r="G940" s="134"/>
      <c r="H940" s="134"/>
      <c r="I940" s="134"/>
    </row>
    <row r="941" spans="1:9" ht="12.75" customHeight="1" x14ac:dyDescent="0.45">
      <c r="A941" s="138"/>
      <c r="B941" s="138"/>
      <c r="C941" s="134"/>
      <c r="D941" s="134"/>
      <c r="E941" s="134"/>
      <c r="F941" s="134"/>
      <c r="G941" s="134"/>
      <c r="H941" s="134"/>
      <c r="I941" s="134"/>
    </row>
    <row r="942" spans="1:9" ht="12.75" customHeight="1" x14ac:dyDescent="0.45">
      <c r="A942" s="138"/>
      <c r="B942" s="138"/>
      <c r="C942" s="134"/>
      <c r="D942" s="134"/>
      <c r="E942" s="134"/>
      <c r="F942" s="134"/>
      <c r="G942" s="134"/>
      <c r="H942" s="134"/>
      <c r="I942" s="134"/>
    </row>
    <row r="943" spans="1:9" ht="12.75" customHeight="1" x14ac:dyDescent="0.45">
      <c r="A943" s="138"/>
      <c r="B943" s="138"/>
      <c r="C943" s="134"/>
      <c r="D943" s="134"/>
      <c r="E943" s="134"/>
      <c r="F943" s="134"/>
      <c r="G943" s="134"/>
      <c r="H943" s="134"/>
      <c r="I943" s="134"/>
    </row>
    <row r="944" spans="1:9" ht="12.75" customHeight="1" x14ac:dyDescent="0.45">
      <c r="A944" s="138"/>
      <c r="B944" s="138"/>
      <c r="C944" s="134"/>
      <c r="D944" s="134"/>
      <c r="E944" s="134"/>
      <c r="F944" s="134"/>
      <c r="G944" s="134"/>
      <c r="H944" s="134"/>
      <c r="I944" s="134"/>
    </row>
    <row r="945" spans="1:9" ht="12.75" customHeight="1" x14ac:dyDescent="0.45">
      <c r="A945" s="138"/>
      <c r="B945" s="138"/>
      <c r="C945" s="134"/>
      <c r="D945" s="134"/>
      <c r="E945" s="134"/>
      <c r="F945" s="134"/>
      <c r="G945" s="134"/>
      <c r="H945" s="134"/>
      <c r="I945" s="134"/>
    </row>
    <row r="946" spans="1:9" ht="12.75" customHeight="1" x14ac:dyDescent="0.45">
      <c r="A946" s="138"/>
      <c r="B946" s="138"/>
      <c r="C946" s="134"/>
      <c r="D946" s="134"/>
      <c r="E946" s="134"/>
      <c r="F946" s="134"/>
      <c r="G946" s="134"/>
      <c r="H946" s="134"/>
      <c r="I946" s="134"/>
    </row>
    <row r="947" spans="1:9" ht="12.75" customHeight="1" x14ac:dyDescent="0.45">
      <c r="A947" s="138"/>
      <c r="B947" s="138"/>
      <c r="C947" s="134"/>
      <c r="D947" s="134"/>
      <c r="E947" s="134"/>
      <c r="F947" s="134"/>
      <c r="G947" s="134"/>
      <c r="H947" s="134"/>
      <c r="I947" s="134"/>
    </row>
    <row r="948" spans="1:9" ht="12.75" customHeight="1" x14ac:dyDescent="0.45">
      <c r="A948" s="138"/>
      <c r="B948" s="138"/>
      <c r="C948" s="134"/>
      <c r="D948" s="134"/>
      <c r="E948" s="134"/>
      <c r="F948" s="134"/>
      <c r="G948" s="134"/>
      <c r="H948" s="134"/>
      <c r="I948" s="134"/>
    </row>
    <row r="949" spans="1:9" ht="12.75" customHeight="1" x14ac:dyDescent="0.45">
      <c r="A949" s="138"/>
      <c r="B949" s="138"/>
      <c r="C949" s="134"/>
      <c r="D949" s="134"/>
      <c r="E949" s="134"/>
      <c r="F949" s="134"/>
      <c r="G949" s="134"/>
      <c r="H949" s="134"/>
      <c r="I949" s="134"/>
    </row>
    <row r="950" spans="1:9" ht="12.75" customHeight="1" x14ac:dyDescent="0.45">
      <c r="A950" s="138"/>
      <c r="B950" s="138"/>
      <c r="C950" s="134"/>
      <c r="D950" s="134"/>
      <c r="E950" s="134"/>
      <c r="F950" s="134"/>
      <c r="G950" s="134"/>
      <c r="H950" s="134"/>
      <c r="I950" s="134"/>
    </row>
    <row r="951" spans="1:9" ht="12.75" customHeight="1" x14ac:dyDescent="0.45">
      <c r="A951" s="138"/>
      <c r="B951" s="138"/>
      <c r="C951" s="134"/>
      <c r="D951" s="134"/>
      <c r="E951" s="134"/>
      <c r="F951" s="134"/>
      <c r="G951" s="134"/>
      <c r="H951" s="134"/>
      <c r="I951" s="134"/>
    </row>
    <row r="952" spans="1:9" ht="12.75" customHeight="1" x14ac:dyDescent="0.45">
      <c r="A952" s="138"/>
      <c r="B952" s="138"/>
      <c r="C952" s="134"/>
      <c r="D952" s="134"/>
      <c r="E952" s="134"/>
      <c r="F952" s="134"/>
      <c r="G952" s="134"/>
      <c r="H952" s="134"/>
      <c r="I952" s="134"/>
    </row>
    <row r="953" spans="1:9" ht="12.75" customHeight="1" x14ac:dyDescent="0.45">
      <c r="A953" s="138"/>
      <c r="B953" s="138"/>
      <c r="C953" s="134"/>
      <c r="D953" s="134"/>
      <c r="E953" s="134"/>
      <c r="F953" s="134"/>
      <c r="G953" s="134"/>
      <c r="H953" s="134"/>
      <c r="I953" s="134"/>
    </row>
    <row r="954" spans="1:9" ht="12.75" customHeight="1" x14ac:dyDescent="0.45">
      <c r="A954" s="138"/>
      <c r="B954" s="138"/>
      <c r="C954" s="134"/>
      <c r="D954" s="134"/>
      <c r="E954" s="134"/>
      <c r="F954" s="134"/>
      <c r="G954" s="134"/>
      <c r="H954" s="134"/>
      <c r="I954" s="134"/>
    </row>
    <row r="955" spans="1:9" ht="12.75" customHeight="1" x14ac:dyDescent="0.45">
      <c r="A955" s="138"/>
      <c r="B955" s="138"/>
      <c r="C955" s="134"/>
      <c r="D955" s="134"/>
      <c r="E955" s="134"/>
      <c r="F955" s="134"/>
      <c r="G955" s="134"/>
      <c r="H955" s="134"/>
      <c r="I955" s="134"/>
    </row>
    <row r="956" spans="1:9" ht="12.75" customHeight="1" x14ac:dyDescent="0.45">
      <c r="A956" s="138"/>
      <c r="B956" s="138"/>
      <c r="C956" s="134"/>
      <c r="D956" s="134"/>
      <c r="E956" s="134"/>
      <c r="F956" s="134"/>
      <c r="G956" s="134"/>
      <c r="H956" s="134"/>
      <c r="I956" s="134"/>
    </row>
    <row r="957" spans="1:9" ht="12.75" customHeight="1" x14ac:dyDescent="0.45">
      <c r="A957" s="138"/>
      <c r="B957" s="138"/>
      <c r="C957" s="134"/>
      <c r="D957" s="134"/>
      <c r="E957" s="134"/>
      <c r="F957" s="134"/>
      <c r="G957" s="134"/>
      <c r="H957" s="134"/>
      <c r="I957" s="134"/>
    </row>
    <row r="958" spans="1:9" ht="12.75" customHeight="1" x14ac:dyDescent="0.45">
      <c r="A958" s="138"/>
      <c r="B958" s="138"/>
      <c r="C958" s="134"/>
      <c r="D958" s="134"/>
      <c r="E958" s="134"/>
      <c r="F958" s="134"/>
      <c r="G958" s="134"/>
      <c r="H958" s="134"/>
      <c r="I958" s="134"/>
    </row>
    <row r="959" spans="1:9" ht="12.75" customHeight="1" x14ac:dyDescent="0.45">
      <c r="A959" s="138"/>
      <c r="B959" s="138"/>
      <c r="C959" s="134"/>
      <c r="D959" s="134"/>
      <c r="E959" s="134"/>
      <c r="F959" s="134"/>
      <c r="G959" s="134"/>
      <c r="H959" s="134"/>
      <c r="I959" s="134"/>
    </row>
    <row r="960" spans="1:9" ht="12.75" customHeight="1" x14ac:dyDescent="0.45">
      <c r="A960" s="138"/>
      <c r="B960" s="138"/>
      <c r="C960" s="134"/>
      <c r="D960" s="134"/>
      <c r="E960" s="134"/>
      <c r="F960" s="134"/>
      <c r="G960" s="134"/>
      <c r="H960" s="134"/>
      <c r="I960" s="134"/>
    </row>
    <row r="961" spans="1:9" ht="12.75" customHeight="1" x14ac:dyDescent="0.45">
      <c r="A961" s="138"/>
      <c r="B961" s="138"/>
      <c r="C961" s="134"/>
      <c r="D961" s="134"/>
      <c r="E961" s="134"/>
      <c r="F961" s="134"/>
      <c r="G961" s="134"/>
      <c r="H961" s="134"/>
      <c r="I961" s="134"/>
    </row>
    <row r="962" spans="1:9" ht="12.75" customHeight="1" x14ac:dyDescent="0.45">
      <c r="A962" s="138"/>
      <c r="B962" s="138"/>
      <c r="C962" s="134"/>
      <c r="D962" s="134"/>
      <c r="E962" s="134"/>
      <c r="F962" s="134"/>
      <c r="G962" s="134"/>
      <c r="H962" s="134"/>
      <c r="I962" s="134"/>
    </row>
    <row r="963" spans="1:9" ht="12.75" customHeight="1" x14ac:dyDescent="0.45">
      <c r="A963" s="138"/>
      <c r="B963" s="138"/>
      <c r="C963" s="134"/>
      <c r="D963" s="134"/>
      <c r="E963" s="134"/>
      <c r="F963" s="134"/>
      <c r="G963" s="134"/>
      <c r="H963" s="134"/>
      <c r="I963" s="134"/>
    </row>
    <row r="964" spans="1:9" ht="14.25" customHeight="1" x14ac:dyDescent="0.45">
      <c r="A964" s="138"/>
      <c r="B964" s="138"/>
      <c r="C964" s="111"/>
      <c r="D964" s="111"/>
      <c r="E964" s="111"/>
      <c r="F964" s="111"/>
      <c r="G964" s="111"/>
      <c r="H964" s="111"/>
      <c r="I964" s="111"/>
    </row>
    <row r="965" spans="1:9" ht="14.25" customHeight="1" x14ac:dyDescent="0.45">
      <c r="A965" s="138"/>
      <c r="B965" s="138"/>
      <c r="C965" s="111"/>
      <c r="D965" s="111"/>
      <c r="E965" s="111"/>
      <c r="F965" s="111"/>
      <c r="G965" s="111"/>
      <c r="H965" s="111"/>
      <c r="I965" s="111"/>
    </row>
    <row r="966" spans="1:9" ht="14.25" customHeight="1" x14ac:dyDescent="0.45">
      <c r="A966" s="138"/>
      <c r="B966" s="138"/>
      <c r="C966" s="111"/>
      <c r="D966" s="111"/>
      <c r="E966" s="111"/>
      <c r="F966" s="111"/>
      <c r="G966" s="111"/>
      <c r="H966" s="111"/>
      <c r="I966" s="111"/>
    </row>
    <row r="967" spans="1:9" ht="14.25" customHeight="1" x14ac:dyDescent="0.45">
      <c r="A967" s="138"/>
      <c r="B967" s="138"/>
      <c r="C967" s="111"/>
      <c r="D967" s="111"/>
      <c r="E967" s="111"/>
      <c r="F967" s="111"/>
      <c r="G967" s="111"/>
      <c r="H967" s="111"/>
      <c r="I967" s="111"/>
    </row>
    <row r="968" spans="1:9" ht="14.25" customHeight="1" x14ac:dyDescent="0.45">
      <c r="A968" s="138"/>
      <c r="B968" s="138"/>
      <c r="C968" s="111"/>
      <c r="D968" s="111"/>
      <c r="E968" s="111"/>
      <c r="F968" s="111"/>
      <c r="G968" s="111"/>
      <c r="H968" s="111"/>
      <c r="I968" s="111"/>
    </row>
    <row r="969" spans="1:9" ht="14.25" customHeight="1" x14ac:dyDescent="0.45">
      <c r="A969" s="138"/>
      <c r="B969" s="138"/>
      <c r="C969" s="111"/>
      <c r="D969" s="111"/>
      <c r="E969" s="111"/>
      <c r="F969" s="111"/>
      <c r="G969" s="111"/>
      <c r="H969" s="111"/>
      <c r="I969" s="111"/>
    </row>
    <row r="970" spans="1:9" ht="14.25" customHeight="1" x14ac:dyDescent="0.45">
      <c r="A970" s="138"/>
      <c r="B970" s="138"/>
      <c r="C970" s="111"/>
      <c r="D970" s="111"/>
      <c r="E970" s="111"/>
      <c r="F970" s="111"/>
      <c r="G970" s="111"/>
      <c r="H970" s="111"/>
      <c r="I970" s="111"/>
    </row>
    <row r="971" spans="1:9" ht="14.25" customHeight="1" x14ac:dyDescent="0.45">
      <c r="A971" s="138"/>
      <c r="B971" s="138"/>
      <c r="C971" s="111"/>
      <c r="D971" s="111"/>
      <c r="E971" s="111"/>
      <c r="F971" s="111"/>
      <c r="G971" s="111"/>
      <c r="H971" s="111"/>
      <c r="I971" s="111"/>
    </row>
    <row r="972" spans="1:9" ht="14.25" customHeight="1" x14ac:dyDescent="0.45">
      <c r="A972" s="138"/>
      <c r="B972" s="138"/>
      <c r="C972" s="111"/>
      <c r="D972" s="111"/>
      <c r="E972" s="111"/>
      <c r="F972" s="111"/>
      <c r="G972" s="111"/>
      <c r="H972" s="111"/>
      <c r="I972" s="111"/>
    </row>
    <row r="973" spans="1:9" ht="14.25" customHeight="1" x14ac:dyDescent="0.45">
      <c r="A973" s="138"/>
      <c r="B973" s="138"/>
      <c r="C973" s="111"/>
      <c r="D973" s="111"/>
      <c r="E973" s="111"/>
      <c r="F973" s="111"/>
      <c r="G973" s="111"/>
      <c r="H973" s="111"/>
      <c r="I973" s="111"/>
    </row>
    <row r="974" spans="1:9" ht="14.25" customHeight="1" x14ac:dyDescent="0.45">
      <c r="A974" s="138"/>
      <c r="B974" s="138"/>
      <c r="C974" s="111"/>
      <c r="D974" s="111"/>
      <c r="E974" s="111"/>
      <c r="F974" s="111"/>
      <c r="G974" s="111"/>
      <c r="H974" s="111"/>
      <c r="I974" s="111"/>
    </row>
    <row r="975" spans="1:9" ht="14.25" customHeight="1" x14ac:dyDescent="0.45">
      <c r="A975" s="138"/>
      <c r="B975" s="138"/>
      <c r="C975" s="111"/>
      <c r="D975" s="111"/>
      <c r="E975" s="111"/>
      <c r="F975" s="111"/>
      <c r="G975" s="111"/>
      <c r="H975" s="111"/>
      <c r="I975" s="111"/>
    </row>
    <row r="976" spans="1:9" ht="14.25" customHeight="1" x14ac:dyDescent="0.45">
      <c r="A976" s="138"/>
      <c r="B976" s="138"/>
      <c r="C976" s="111"/>
      <c r="D976" s="111"/>
      <c r="E976" s="111"/>
      <c r="F976" s="111"/>
      <c r="G976" s="111"/>
      <c r="H976" s="111"/>
      <c r="I976" s="111"/>
    </row>
    <row r="977" spans="1:2" ht="14.25" customHeight="1" x14ac:dyDescent="0.45">
      <c r="A977" s="138"/>
      <c r="B977" s="138"/>
    </row>
    <row r="978" spans="1:2" ht="14.25" customHeight="1" x14ac:dyDescent="0.45">
      <c r="A978" s="138"/>
      <c r="B978" s="138"/>
    </row>
    <row r="979" spans="1:2" ht="14.25" customHeight="1" x14ac:dyDescent="0.45">
      <c r="A979" s="138"/>
      <c r="B979" s="138"/>
    </row>
    <row r="980" spans="1:2" ht="14.25" customHeight="1" x14ac:dyDescent="0.45">
      <c r="A980" s="138"/>
      <c r="B980" s="138"/>
    </row>
    <row r="981" spans="1:2" ht="14.25" customHeight="1" x14ac:dyDescent="0.45">
      <c r="A981" s="138"/>
      <c r="B981" s="138"/>
    </row>
    <row r="982" spans="1:2" ht="14.25" customHeight="1" x14ac:dyDescent="0.45">
      <c r="A982" s="138"/>
      <c r="B982" s="138"/>
    </row>
    <row r="983" spans="1:2" ht="14.25" customHeight="1" x14ac:dyDescent="0.45">
      <c r="A983" s="138"/>
      <c r="B983" s="138"/>
    </row>
    <row r="984" spans="1:2" ht="14.25" customHeight="1" x14ac:dyDescent="0.45">
      <c r="A984" s="138"/>
      <c r="B984" s="138"/>
    </row>
    <row r="985" spans="1:2" ht="14.25" customHeight="1" x14ac:dyDescent="0.45">
      <c r="A985" s="138"/>
      <c r="B985" s="138"/>
    </row>
    <row r="986" spans="1:2" ht="14.25" customHeight="1" x14ac:dyDescent="0.45">
      <c r="A986" s="138"/>
      <c r="B986" s="138"/>
    </row>
    <row r="987" spans="1:2" ht="14.25" customHeight="1" x14ac:dyDescent="0.45">
      <c r="A987" s="138"/>
      <c r="B987" s="138"/>
    </row>
    <row r="988" spans="1:2" ht="14.25" customHeight="1" x14ac:dyDescent="0.45">
      <c r="A988" s="138"/>
      <c r="B988" s="138"/>
    </row>
    <row r="989" spans="1:2" ht="14.25" customHeight="1" x14ac:dyDescent="0.45">
      <c r="A989" s="138"/>
      <c r="B989" s="138"/>
    </row>
    <row r="990" spans="1:2" ht="14.25" customHeight="1" x14ac:dyDescent="0.45">
      <c r="A990" s="138"/>
      <c r="B990" s="138"/>
    </row>
    <row r="991" spans="1:2" ht="14.25" customHeight="1" x14ac:dyDescent="0.45">
      <c r="A991" s="138"/>
      <c r="B991" s="138"/>
    </row>
    <row r="992" spans="1:2" ht="14.25" customHeight="1" x14ac:dyDescent="0.45">
      <c r="A992" s="138"/>
      <c r="B992" s="138"/>
    </row>
    <row r="993" spans="1:2" ht="14.25" customHeight="1" x14ac:dyDescent="0.45">
      <c r="A993" s="138"/>
      <c r="B993" s="138"/>
    </row>
    <row r="994" spans="1:2" ht="14.25" customHeight="1" x14ac:dyDescent="0.45">
      <c r="A994" s="138"/>
      <c r="B994" s="138"/>
    </row>
    <row r="995" spans="1:2" ht="14.25" customHeight="1" x14ac:dyDescent="0.45">
      <c r="A995" s="138"/>
      <c r="B995" s="138"/>
    </row>
    <row r="996" spans="1:2" ht="14.25" customHeight="1" x14ac:dyDescent="0.45">
      <c r="A996" s="138"/>
      <c r="B996" s="138"/>
    </row>
    <row r="997" spans="1:2" ht="14.25" customHeight="1" x14ac:dyDescent="0.45">
      <c r="A997" s="138"/>
      <c r="B997" s="138"/>
    </row>
    <row r="998" spans="1:2" ht="14.25" customHeight="1" x14ac:dyDescent="0.45">
      <c r="A998" s="138"/>
      <c r="B998" s="138"/>
    </row>
    <row r="999" spans="1:2" ht="14.25" customHeight="1" x14ac:dyDescent="0.45">
      <c r="A999" s="138"/>
      <c r="B999" s="138"/>
    </row>
    <row r="1000" spans="1:2" ht="14.25" customHeight="1" x14ac:dyDescent="0.45">
      <c r="A1000" s="138"/>
      <c r="B1000" s="138"/>
    </row>
    <row r="1001" spans="1:2" ht="14.25" customHeight="1" x14ac:dyDescent="0.45">
      <c r="A1001" s="138"/>
      <c r="B1001" s="138"/>
    </row>
    <row r="1002" spans="1:2" ht="14.25" customHeight="1" x14ac:dyDescent="0.45">
      <c r="A1002" s="138"/>
      <c r="B1002" s="138"/>
    </row>
  </sheetData>
  <autoFilter ref="A1:I1002" xr:uid="{00000000-0009-0000-0000-000002000000}"/>
  <mergeCells count="15">
    <mergeCell ref="B30:B50"/>
    <mergeCell ref="B51:B65"/>
    <mergeCell ref="B91:B108"/>
    <mergeCell ref="C108:F108"/>
    <mergeCell ref="A66:A108"/>
    <mergeCell ref="C85:F85"/>
    <mergeCell ref="C65:F65"/>
    <mergeCell ref="C99:F99"/>
    <mergeCell ref="C50:F50"/>
    <mergeCell ref="C76:F76"/>
    <mergeCell ref="B66:B90"/>
    <mergeCell ref="A2:A65"/>
    <mergeCell ref="C34:F34"/>
    <mergeCell ref="C20:F20"/>
    <mergeCell ref="B2:B29"/>
  </mergeCells>
  <hyperlinks>
    <hyperlink ref="F1" r:id="rId1" xr:uid="{00000000-0004-0000-0200-000000000000}"/>
    <hyperlink ref="F2" r:id="rId2" xr:uid="{00000000-0004-0000-0200-000001000000}"/>
    <hyperlink ref="I2" r:id="rId3" xr:uid="{00000000-0004-0000-0200-000002000000}"/>
    <hyperlink ref="F3" r:id="rId4" xr:uid="{00000000-0004-0000-0200-000003000000}"/>
    <hyperlink ref="I3" r:id="rId5" xr:uid="{00000000-0004-0000-0200-000004000000}"/>
    <hyperlink ref="F4" r:id="rId6" xr:uid="{00000000-0004-0000-0200-000005000000}"/>
    <hyperlink ref="G4" r:id="rId7" xr:uid="{00000000-0004-0000-0200-000006000000}"/>
    <hyperlink ref="I4" r:id="rId8" xr:uid="{00000000-0004-0000-0200-000007000000}"/>
    <hyperlink ref="F5" r:id="rId9" xr:uid="{00000000-0004-0000-0200-000008000000}"/>
    <hyperlink ref="I5" r:id="rId10" xr:uid="{00000000-0004-0000-0200-000009000000}"/>
    <hyperlink ref="F6" r:id="rId11" xr:uid="{00000000-0004-0000-0200-00000A000000}"/>
    <hyperlink ref="I6" r:id="rId12" xr:uid="{00000000-0004-0000-0200-00000B000000}"/>
    <hyperlink ref="F7" r:id="rId13" xr:uid="{00000000-0004-0000-0200-00000C000000}"/>
    <hyperlink ref="I7" r:id="rId14" xr:uid="{00000000-0004-0000-0200-00000D000000}"/>
    <hyperlink ref="F8" r:id="rId15" xr:uid="{00000000-0004-0000-0200-00000E000000}"/>
    <hyperlink ref="I8" r:id="rId16" xr:uid="{00000000-0004-0000-0200-00000F000000}"/>
    <hyperlink ref="F9" r:id="rId17" xr:uid="{00000000-0004-0000-0200-000010000000}"/>
    <hyperlink ref="I9" r:id="rId18" xr:uid="{00000000-0004-0000-0200-000011000000}"/>
    <hyperlink ref="F10" r:id="rId19" xr:uid="{00000000-0004-0000-0200-000012000000}"/>
    <hyperlink ref="I10" r:id="rId20" xr:uid="{00000000-0004-0000-0200-000013000000}"/>
    <hyperlink ref="F11" r:id="rId21" xr:uid="{00000000-0004-0000-0200-000014000000}"/>
    <hyperlink ref="I11" r:id="rId22" xr:uid="{00000000-0004-0000-0200-000015000000}"/>
    <hyperlink ref="F12" r:id="rId23" xr:uid="{00000000-0004-0000-0200-000016000000}"/>
    <hyperlink ref="I12" r:id="rId24" xr:uid="{00000000-0004-0000-0200-000017000000}"/>
    <hyperlink ref="F13" r:id="rId25" xr:uid="{00000000-0004-0000-0200-000018000000}"/>
    <hyperlink ref="I13" r:id="rId26" xr:uid="{00000000-0004-0000-0200-000019000000}"/>
    <hyperlink ref="F14" r:id="rId27" xr:uid="{00000000-0004-0000-0200-00001A000000}"/>
    <hyperlink ref="I14" r:id="rId28" xr:uid="{00000000-0004-0000-0200-00001B000000}"/>
    <hyperlink ref="F15" r:id="rId29" xr:uid="{00000000-0004-0000-0200-00001C000000}"/>
    <hyperlink ref="I15" r:id="rId30" xr:uid="{00000000-0004-0000-0200-00001D000000}"/>
    <hyperlink ref="F16" r:id="rId31" xr:uid="{00000000-0004-0000-0200-00001E000000}"/>
    <hyperlink ref="I16" r:id="rId32" xr:uid="{00000000-0004-0000-0200-00001F000000}"/>
    <hyperlink ref="F17" r:id="rId33" xr:uid="{00000000-0004-0000-0200-000020000000}"/>
    <hyperlink ref="I17" r:id="rId34" xr:uid="{00000000-0004-0000-0200-000021000000}"/>
    <hyperlink ref="F18" r:id="rId35" xr:uid="{00000000-0004-0000-0200-000022000000}"/>
    <hyperlink ref="I18" r:id="rId36" xr:uid="{00000000-0004-0000-0200-000023000000}"/>
    <hyperlink ref="F19" r:id="rId37" xr:uid="{00000000-0004-0000-0200-000024000000}"/>
    <hyperlink ref="I19" r:id="rId38" xr:uid="{00000000-0004-0000-0200-000025000000}"/>
    <hyperlink ref="I21" r:id="rId39" xr:uid="{00000000-0004-0000-0200-000026000000}"/>
    <hyperlink ref="I22" r:id="rId40" xr:uid="{00000000-0004-0000-0200-000027000000}"/>
    <hyperlink ref="I23" r:id="rId41" xr:uid="{00000000-0004-0000-0200-000028000000}"/>
    <hyperlink ref="I24" r:id="rId42" xr:uid="{00000000-0004-0000-0200-000029000000}"/>
    <hyperlink ref="I25" r:id="rId43" xr:uid="{00000000-0004-0000-0200-00002A000000}"/>
    <hyperlink ref="I26" r:id="rId44" xr:uid="{00000000-0004-0000-0200-00002B000000}"/>
    <hyperlink ref="I27" r:id="rId45" xr:uid="{00000000-0004-0000-0200-00002C000000}"/>
    <hyperlink ref="I28" r:id="rId46" xr:uid="{00000000-0004-0000-0200-00002D000000}"/>
    <hyperlink ref="I29" r:id="rId47" xr:uid="{00000000-0004-0000-0200-00002E000000}"/>
    <hyperlink ref="I30" r:id="rId48" xr:uid="{00000000-0004-0000-0200-00002F000000}"/>
    <hyperlink ref="I31" r:id="rId49" xr:uid="{00000000-0004-0000-0200-000030000000}"/>
    <hyperlink ref="I32" r:id="rId50" xr:uid="{00000000-0004-0000-0200-000031000000}"/>
    <hyperlink ref="I33" r:id="rId51" xr:uid="{00000000-0004-0000-0200-000032000000}"/>
    <hyperlink ref="F35" r:id="rId52" xr:uid="{00000000-0004-0000-0200-000033000000}"/>
    <hyperlink ref="I35" r:id="rId53" xr:uid="{00000000-0004-0000-0200-000034000000}"/>
    <hyperlink ref="F36" r:id="rId54" xr:uid="{00000000-0004-0000-0200-000035000000}"/>
    <hyperlink ref="I36" r:id="rId55" xr:uid="{00000000-0004-0000-0200-000036000000}"/>
    <hyperlink ref="F37" r:id="rId56" xr:uid="{00000000-0004-0000-0200-000037000000}"/>
    <hyperlink ref="I37" r:id="rId57" xr:uid="{00000000-0004-0000-0200-000038000000}"/>
    <hyperlink ref="F38" r:id="rId58" xr:uid="{00000000-0004-0000-0200-000039000000}"/>
    <hyperlink ref="I38" r:id="rId59" xr:uid="{00000000-0004-0000-0200-00003A000000}"/>
    <hyperlink ref="F39" r:id="rId60" xr:uid="{00000000-0004-0000-0200-00003B000000}"/>
    <hyperlink ref="I39" r:id="rId61" xr:uid="{00000000-0004-0000-0200-00003C000000}"/>
    <hyperlink ref="F40" r:id="rId62" xr:uid="{00000000-0004-0000-0200-00003D000000}"/>
    <hyperlink ref="I40" r:id="rId63" xr:uid="{00000000-0004-0000-0200-00003E000000}"/>
    <hyperlink ref="F41" r:id="rId64" xr:uid="{00000000-0004-0000-0200-00003F000000}"/>
    <hyperlink ref="I41" r:id="rId65" xr:uid="{00000000-0004-0000-0200-000040000000}"/>
    <hyperlink ref="F42" r:id="rId66" xr:uid="{00000000-0004-0000-0200-000041000000}"/>
    <hyperlink ref="I42" r:id="rId67" xr:uid="{00000000-0004-0000-0200-000042000000}"/>
    <hyperlink ref="F43" r:id="rId68" xr:uid="{00000000-0004-0000-0200-000043000000}"/>
    <hyperlink ref="I43" r:id="rId69" xr:uid="{00000000-0004-0000-0200-000044000000}"/>
    <hyperlink ref="F44" r:id="rId70" xr:uid="{00000000-0004-0000-0200-000045000000}"/>
    <hyperlink ref="I44" r:id="rId71" xr:uid="{00000000-0004-0000-0200-000046000000}"/>
    <hyperlink ref="F45" r:id="rId72" xr:uid="{00000000-0004-0000-0200-000047000000}"/>
    <hyperlink ref="I45" r:id="rId73" xr:uid="{00000000-0004-0000-0200-000048000000}"/>
    <hyperlink ref="F46" r:id="rId74" xr:uid="{00000000-0004-0000-0200-000049000000}"/>
    <hyperlink ref="I46" r:id="rId75" xr:uid="{00000000-0004-0000-0200-00004A000000}"/>
    <hyperlink ref="F47" r:id="rId76" xr:uid="{00000000-0004-0000-0200-00004B000000}"/>
    <hyperlink ref="I47" r:id="rId77" xr:uid="{00000000-0004-0000-0200-00004C000000}"/>
    <hyperlink ref="F48" r:id="rId78" xr:uid="{00000000-0004-0000-0200-00004D000000}"/>
    <hyperlink ref="I48" r:id="rId79" xr:uid="{00000000-0004-0000-0200-00004E000000}"/>
    <hyperlink ref="F49" r:id="rId80" xr:uid="{00000000-0004-0000-0200-00004F000000}"/>
    <hyperlink ref="I49" r:id="rId81" xr:uid="{00000000-0004-0000-0200-000050000000}"/>
    <hyperlink ref="F51" r:id="rId82" xr:uid="{00000000-0004-0000-0200-000051000000}"/>
    <hyperlink ref="I51" r:id="rId83" xr:uid="{00000000-0004-0000-0200-000052000000}"/>
    <hyperlink ref="F52" r:id="rId84" xr:uid="{00000000-0004-0000-0200-000053000000}"/>
    <hyperlink ref="I52" r:id="rId85" xr:uid="{00000000-0004-0000-0200-000054000000}"/>
    <hyperlink ref="F53" r:id="rId86" xr:uid="{00000000-0004-0000-0200-000055000000}"/>
    <hyperlink ref="I53" r:id="rId87" xr:uid="{00000000-0004-0000-0200-000056000000}"/>
    <hyperlink ref="F54" r:id="rId88" xr:uid="{00000000-0004-0000-0200-000057000000}"/>
    <hyperlink ref="I54" r:id="rId89" xr:uid="{00000000-0004-0000-0200-000058000000}"/>
    <hyperlink ref="F55" r:id="rId90" xr:uid="{00000000-0004-0000-0200-000059000000}"/>
    <hyperlink ref="I55" r:id="rId91" xr:uid="{00000000-0004-0000-0200-00005A000000}"/>
    <hyperlink ref="F56" r:id="rId92" xr:uid="{00000000-0004-0000-0200-00005B000000}"/>
    <hyperlink ref="I56" r:id="rId93" xr:uid="{00000000-0004-0000-0200-00005C000000}"/>
    <hyperlink ref="F57" r:id="rId94" xr:uid="{00000000-0004-0000-0200-00005D000000}"/>
    <hyperlink ref="I57" r:id="rId95" xr:uid="{00000000-0004-0000-0200-00005E000000}"/>
    <hyperlink ref="F58" r:id="rId96" xr:uid="{00000000-0004-0000-0200-00005F000000}"/>
    <hyperlink ref="I58" r:id="rId97" xr:uid="{00000000-0004-0000-0200-000060000000}"/>
    <hyperlink ref="F59" r:id="rId98" xr:uid="{00000000-0004-0000-0200-000061000000}"/>
    <hyperlink ref="I59" r:id="rId99" xr:uid="{00000000-0004-0000-0200-000062000000}"/>
    <hyperlink ref="I60" r:id="rId100" xr:uid="{00000000-0004-0000-0200-000063000000}"/>
    <hyperlink ref="I61" r:id="rId101" xr:uid="{00000000-0004-0000-0200-000064000000}"/>
    <hyperlink ref="I62" r:id="rId102" xr:uid="{00000000-0004-0000-0200-000065000000}"/>
    <hyperlink ref="I63" r:id="rId103" xr:uid="{00000000-0004-0000-0200-000066000000}"/>
    <hyperlink ref="I64" r:id="rId104" xr:uid="{00000000-0004-0000-0200-000067000000}"/>
    <hyperlink ref="I66" r:id="rId105" xr:uid="{00000000-0004-0000-0200-000068000000}"/>
    <hyperlink ref="I67" r:id="rId106" xr:uid="{00000000-0004-0000-0200-000069000000}"/>
    <hyperlink ref="I68" r:id="rId107" xr:uid="{00000000-0004-0000-0200-00006A000000}"/>
    <hyperlink ref="I69" r:id="rId108" xr:uid="{00000000-0004-0000-0200-00006B000000}"/>
    <hyperlink ref="I70" r:id="rId109" xr:uid="{00000000-0004-0000-0200-00006C000000}"/>
    <hyperlink ref="I71" r:id="rId110" xr:uid="{00000000-0004-0000-0200-00006D000000}"/>
    <hyperlink ref="I72" r:id="rId111" xr:uid="{00000000-0004-0000-0200-00006E000000}"/>
    <hyperlink ref="I73" r:id="rId112" xr:uid="{00000000-0004-0000-0200-00006F000000}"/>
    <hyperlink ref="I74" r:id="rId113" xr:uid="{00000000-0004-0000-0200-000070000000}"/>
    <hyperlink ref="I75" r:id="rId114" xr:uid="{00000000-0004-0000-0200-000071000000}"/>
    <hyperlink ref="I77" r:id="rId115" xr:uid="{00000000-0004-0000-0200-000072000000}"/>
    <hyperlink ref="I78" r:id="rId116" xr:uid="{00000000-0004-0000-0200-000073000000}"/>
    <hyperlink ref="I79" r:id="rId117" xr:uid="{00000000-0004-0000-0200-000074000000}"/>
    <hyperlink ref="I80" r:id="rId118" xr:uid="{00000000-0004-0000-0200-000075000000}"/>
    <hyperlink ref="I81" r:id="rId119" xr:uid="{00000000-0004-0000-0200-000076000000}"/>
    <hyperlink ref="I82" r:id="rId120" xr:uid="{00000000-0004-0000-0200-000077000000}"/>
    <hyperlink ref="I83" r:id="rId121" xr:uid="{00000000-0004-0000-0200-000078000000}"/>
    <hyperlink ref="I84" r:id="rId122" xr:uid="{00000000-0004-0000-0200-000079000000}"/>
    <hyperlink ref="I86" r:id="rId123" xr:uid="{00000000-0004-0000-0200-00007A000000}"/>
    <hyperlink ref="I87" r:id="rId124" xr:uid="{00000000-0004-0000-0200-00007B000000}"/>
    <hyperlink ref="I88" r:id="rId125" xr:uid="{00000000-0004-0000-0200-00007C000000}"/>
    <hyperlink ref="I89" r:id="rId126" xr:uid="{00000000-0004-0000-0200-00007D000000}"/>
    <hyperlink ref="I90" r:id="rId127" xr:uid="{00000000-0004-0000-0200-00007E000000}"/>
    <hyperlink ref="I91" r:id="rId128" xr:uid="{00000000-0004-0000-0200-00007F000000}"/>
    <hyperlink ref="I92" r:id="rId129" xr:uid="{00000000-0004-0000-0200-000080000000}"/>
    <hyperlink ref="I93" r:id="rId130" xr:uid="{00000000-0004-0000-0200-000081000000}"/>
    <hyperlink ref="I94" r:id="rId131" xr:uid="{00000000-0004-0000-0200-000082000000}"/>
    <hyperlink ref="I95" r:id="rId132" xr:uid="{00000000-0004-0000-0200-000083000000}"/>
    <hyperlink ref="I96" r:id="rId133" xr:uid="{00000000-0004-0000-0200-000084000000}"/>
    <hyperlink ref="I97" r:id="rId134" xr:uid="{00000000-0004-0000-0200-000085000000}"/>
    <hyperlink ref="I98" r:id="rId135" xr:uid="{00000000-0004-0000-0200-000086000000}"/>
    <hyperlink ref="I100" r:id="rId136" xr:uid="{00000000-0004-0000-0200-000087000000}"/>
    <hyperlink ref="I101" r:id="rId137" xr:uid="{00000000-0004-0000-0200-000088000000}"/>
    <hyperlink ref="I102" r:id="rId138" xr:uid="{00000000-0004-0000-0200-000089000000}"/>
    <hyperlink ref="I103" r:id="rId139" xr:uid="{00000000-0004-0000-0200-00008A000000}"/>
    <hyperlink ref="I104" r:id="rId140" xr:uid="{00000000-0004-0000-0200-00008B000000}"/>
    <hyperlink ref="I105" r:id="rId141" xr:uid="{00000000-0004-0000-0200-00008C000000}"/>
    <hyperlink ref="I106" r:id="rId142" xr:uid="{00000000-0004-0000-0200-00008D000000}"/>
    <hyperlink ref="I107" r:id="rId143" xr:uid="{00000000-0004-0000-0200-00008E000000}"/>
  </hyperlinks>
  <printOptions horizontalCentered="1" gridLines="1"/>
  <pageMargins left="0.7" right="0.7" top="0.75" bottom="0.75" header="0" footer="0"/>
  <pageSetup fitToHeight="0" pageOrder="overThenDown" orientation="landscape" cellComments="atEnd"/>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N10"/>
  <sheetViews>
    <sheetView topLeftCell="C1" workbookViewId="0">
      <selection activeCell="N15" sqref="N15"/>
    </sheetView>
  </sheetViews>
  <sheetFormatPr defaultColWidth="14.3984375" defaultRowHeight="15" customHeight="1" x14ac:dyDescent="0.45"/>
  <sheetData>
    <row r="1" spans="1:14" ht="15" customHeight="1" thickBot="1" x14ac:dyDescent="0.5">
      <c r="A1" s="83"/>
      <c r="B1" s="256" t="s">
        <v>2285</v>
      </c>
      <c r="C1" s="257"/>
      <c r="D1" s="258"/>
      <c r="E1" s="84" t="s">
        <v>2277</v>
      </c>
      <c r="F1" s="85" t="s">
        <v>2278</v>
      </c>
      <c r="G1" s="256" t="s">
        <v>2286</v>
      </c>
      <c r="H1" s="257"/>
      <c r="I1" s="258"/>
      <c r="L1" s="259" t="s">
        <v>2287</v>
      </c>
      <c r="M1" s="260"/>
      <c r="N1" s="261"/>
    </row>
    <row r="2" spans="1:14" ht="15" customHeight="1" thickBot="1" x14ac:dyDescent="0.5">
      <c r="A2" s="86"/>
      <c r="B2" s="87" t="s">
        <v>2279</v>
      </c>
      <c r="C2" s="87" t="s">
        <v>2280</v>
      </c>
      <c r="D2" s="87" t="s">
        <v>2281</v>
      </c>
      <c r="E2" s="88"/>
      <c r="F2" s="89"/>
      <c r="G2" s="87" t="s">
        <v>2279</v>
      </c>
      <c r="H2" s="87" t="s">
        <v>2280</v>
      </c>
      <c r="I2" s="87" t="s">
        <v>2281</v>
      </c>
      <c r="L2" s="157" t="s">
        <v>2279</v>
      </c>
      <c r="M2" s="158" t="s">
        <v>2280</v>
      </c>
      <c r="N2" s="158" t="s">
        <v>2281</v>
      </c>
    </row>
    <row r="3" spans="1:14" ht="15" customHeight="1" thickBot="1" x14ac:dyDescent="0.5">
      <c r="A3" s="86"/>
      <c r="B3" s="90" t="s">
        <v>58</v>
      </c>
      <c r="C3" s="91">
        <v>46280</v>
      </c>
      <c r="D3" s="92">
        <v>46284</v>
      </c>
      <c r="E3" s="93" t="s">
        <v>2282</v>
      </c>
      <c r="F3" s="94" t="s">
        <v>2283</v>
      </c>
      <c r="G3" s="90" t="s">
        <v>58</v>
      </c>
      <c r="H3" s="95">
        <v>46287</v>
      </c>
      <c r="I3" s="96">
        <v>46291</v>
      </c>
      <c r="L3" s="90" t="s">
        <v>58</v>
      </c>
      <c r="M3" s="159">
        <v>46329</v>
      </c>
      <c r="N3" s="160">
        <f>M3+7</f>
        <v>46336</v>
      </c>
    </row>
    <row r="4" spans="1:14" ht="15" customHeight="1" thickBot="1" x14ac:dyDescent="0.5">
      <c r="A4" s="86"/>
      <c r="B4" s="90" t="s">
        <v>144</v>
      </c>
      <c r="C4" s="91">
        <v>46350</v>
      </c>
      <c r="D4" s="92">
        <v>46354</v>
      </c>
      <c r="E4" s="88"/>
      <c r="F4" s="89"/>
      <c r="G4" s="90" t="s">
        <v>144</v>
      </c>
      <c r="H4" s="95">
        <v>46350</v>
      </c>
      <c r="I4" s="96">
        <v>46354</v>
      </c>
      <c r="L4" s="90" t="s">
        <v>144</v>
      </c>
      <c r="M4" s="159">
        <v>46055</v>
      </c>
      <c r="N4" s="160">
        <v>46059</v>
      </c>
    </row>
    <row r="5" spans="1:14" ht="15" customHeight="1" thickBot="1" x14ac:dyDescent="0.5">
      <c r="A5" s="86"/>
      <c r="B5" s="90" t="s">
        <v>327</v>
      </c>
      <c r="C5" s="92">
        <v>46097</v>
      </c>
      <c r="D5" s="92">
        <v>46101</v>
      </c>
      <c r="E5" s="88"/>
      <c r="F5" s="89"/>
      <c r="G5" s="90" t="s">
        <v>327</v>
      </c>
      <c r="H5" s="95">
        <v>46055</v>
      </c>
      <c r="I5" s="96">
        <v>46059</v>
      </c>
      <c r="L5" s="90" t="s">
        <v>327</v>
      </c>
      <c r="M5" s="159">
        <v>46146</v>
      </c>
      <c r="N5" s="160">
        <v>46150</v>
      </c>
    </row>
    <row r="6" spans="1:14" ht="15" customHeight="1" thickBot="1" x14ac:dyDescent="0.5">
      <c r="A6" s="86"/>
      <c r="B6" s="90" t="s">
        <v>422</v>
      </c>
      <c r="C6" s="91">
        <v>46160</v>
      </c>
      <c r="D6" s="92">
        <v>46164</v>
      </c>
      <c r="E6" s="88"/>
      <c r="F6" s="89"/>
      <c r="G6" s="90" t="s">
        <v>422</v>
      </c>
      <c r="H6" s="95">
        <v>46174</v>
      </c>
      <c r="I6" s="96">
        <v>46178</v>
      </c>
      <c r="L6" s="90" t="s">
        <v>422</v>
      </c>
      <c r="M6" s="159">
        <v>46188</v>
      </c>
      <c r="N6" s="160">
        <v>46192</v>
      </c>
    </row>
    <row r="7" spans="1:14" ht="15" customHeight="1" thickBot="1" x14ac:dyDescent="0.5">
      <c r="A7" s="86"/>
      <c r="B7" s="90" t="s">
        <v>534</v>
      </c>
      <c r="C7" s="97">
        <v>46308</v>
      </c>
      <c r="D7" s="98">
        <v>46312</v>
      </c>
      <c r="E7" s="88"/>
      <c r="F7" s="94" t="s">
        <v>2284</v>
      </c>
      <c r="G7" s="90" t="s">
        <v>534</v>
      </c>
      <c r="H7" s="99">
        <v>46287</v>
      </c>
      <c r="I7" s="100">
        <v>46291</v>
      </c>
      <c r="L7" s="90" t="s">
        <v>534</v>
      </c>
      <c r="M7" s="161">
        <v>46309</v>
      </c>
      <c r="N7" s="162">
        <v>46313</v>
      </c>
    </row>
    <row r="8" spans="1:14" ht="15" customHeight="1" thickBot="1" x14ac:dyDescent="0.5">
      <c r="A8" s="86"/>
      <c r="B8" s="101" t="s">
        <v>2291</v>
      </c>
      <c r="C8" s="102">
        <v>46357</v>
      </c>
      <c r="D8" s="103">
        <v>46361</v>
      </c>
      <c r="E8" s="88"/>
      <c r="F8" s="89"/>
      <c r="G8" s="104" t="s">
        <v>2291</v>
      </c>
      <c r="H8" s="105">
        <v>46357</v>
      </c>
      <c r="I8" s="106">
        <v>46361</v>
      </c>
      <c r="L8" s="163" t="s">
        <v>2291</v>
      </c>
      <c r="M8" s="164">
        <v>46357</v>
      </c>
      <c r="N8" s="165">
        <v>46361</v>
      </c>
    </row>
    <row r="9" spans="1:14" ht="15" customHeight="1" thickBot="1" x14ac:dyDescent="0.5">
      <c r="A9" s="107"/>
      <c r="B9" s="90" t="s">
        <v>737</v>
      </c>
      <c r="C9" s="98">
        <v>46090</v>
      </c>
      <c r="D9" s="98">
        <v>46095</v>
      </c>
      <c r="E9" s="108"/>
      <c r="F9" s="109"/>
      <c r="G9" s="90" t="s">
        <v>737</v>
      </c>
      <c r="H9" s="100">
        <v>46090</v>
      </c>
      <c r="I9" s="100">
        <v>46094</v>
      </c>
      <c r="L9" s="90" t="s">
        <v>737</v>
      </c>
      <c r="M9" s="166">
        <v>46062</v>
      </c>
      <c r="N9" s="167">
        <v>46066</v>
      </c>
    </row>
    <row r="10" spans="1:14" ht="15" customHeight="1" thickBot="1" x14ac:dyDescent="0.5">
      <c r="L10" s="90" t="s">
        <v>2276</v>
      </c>
      <c r="M10" s="166">
        <v>46090</v>
      </c>
      <c r="N10" s="167">
        <v>46094</v>
      </c>
    </row>
  </sheetData>
  <mergeCells count="3">
    <mergeCell ref="B1:D1"/>
    <mergeCell ref="G1:I1"/>
    <mergeCell ref="L1:N1"/>
  </mergeCells>
  <hyperlinks>
    <hyperlink ref="B3" location="gid=336503007" display="Test 1" xr:uid="{D0EEA01B-5ACF-44AE-893C-BC4A85C855AD}"/>
    <hyperlink ref="G3" location="gid=336503007" display="Test 1" xr:uid="{609B399B-4B98-44CB-B17A-16D2F348E9B3}"/>
    <hyperlink ref="B4" location="gid=1300966434" display="Test 2" xr:uid="{13F25058-0D6E-4697-8AA0-438D56E4B090}"/>
    <hyperlink ref="G4" location="gid=1300966434" display="Test 2" xr:uid="{A58E8D2E-C520-4E56-9F78-809EBD01115A}"/>
    <hyperlink ref="B5" location="gid=2065704379" display="Test 3" xr:uid="{A4E7A45A-D794-441E-AA53-A3DF1A2F962E}"/>
    <hyperlink ref="G5" location="gid=2065704379" display="Test 3" xr:uid="{DD95C680-3580-49DE-885F-36B71D123BC7}"/>
    <hyperlink ref="B6" location="gid=853772398" display="Test 4" xr:uid="{C86FCCAA-F1BB-447E-B454-6A4F78153797}"/>
    <hyperlink ref="G6" location="gid=853772398" display="Test 4" xr:uid="{F29A10E4-216C-40F7-96CB-6F1DC5A3DF7D}"/>
    <hyperlink ref="B7" location="gid=1126333623" display="Test 5" xr:uid="{41EAAFC9-4F9D-47A4-8907-EC815568E184}"/>
    <hyperlink ref="G7" location="gid=1126333623" display="Test 5" xr:uid="{98A10324-A2E8-4D06-969C-80D57121A86E}"/>
    <hyperlink ref="B9" location="gid=1282276303" display="Test 7" xr:uid="{0A60191F-0B67-4BAA-9E6E-A23BC157179C}"/>
    <hyperlink ref="G9" location="gid=1282276303" display="Test 7" xr:uid="{A753E91C-5663-4112-921C-77E39E949565}"/>
    <hyperlink ref="L3" location="gid=336503007" display="gid=336503007" xr:uid="{AFF3BFF9-7497-424C-86F1-F00764E006CD}"/>
    <hyperlink ref="L4" location="gid=1300966434" display="gid=1300966434" xr:uid="{8224CE65-5B31-4418-B1B8-53C26CF1F362}"/>
    <hyperlink ref="L5" location="gid=2065704379" display="gid=2065704379" xr:uid="{A797D9D5-60F2-42A3-BF0A-A2112B8C5ED9}"/>
    <hyperlink ref="L6" location="gid=853772398" display="gid=853772398" xr:uid="{5488B8EF-1D88-43FE-930B-69F68537EAE7}"/>
    <hyperlink ref="L7" location="gid=1126333623" display="gid=1126333623" xr:uid="{2DAD9FDC-0205-41C3-92A9-F2851C2299C1}"/>
    <hyperlink ref="L10" location="gid=1467568466" display="gid=1467568466" xr:uid="{8D33A01C-6319-4343-B53F-03795A83947B}"/>
    <hyperlink ref="L9" location="gid=1282276303" display="gid=1282276303" xr:uid="{67CE4139-1114-4711-BCF6-981309B85C8C}"/>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E54F5-A751-4BC6-AB01-AD21F0B84A8C}">
  <dimension ref="A1:M9"/>
  <sheetViews>
    <sheetView workbookViewId="0">
      <selection sqref="A1:M9"/>
    </sheetView>
  </sheetViews>
  <sheetFormatPr defaultRowHeight="14.25" x14ac:dyDescent="0.45"/>
  <sheetData>
    <row r="1" spans="1:13" x14ac:dyDescent="0.45">
      <c r="A1" t="s">
        <v>2288</v>
      </c>
      <c r="F1" t="s">
        <v>2289</v>
      </c>
      <c r="K1" t="s">
        <v>2290</v>
      </c>
    </row>
    <row r="2" spans="1:13" x14ac:dyDescent="0.45">
      <c r="A2" t="s">
        <v>2279</v>
      </c>
      <c r="B2" t="s">
        <v>2280</v>
      </c>
      <c r="C2" t="s">
        <v>2281</v>
      </c>
      <c r="F2" t="s">
        <v>2279</v>
      </c>
      <c r="G2" t="s">
        <v>2280</v>
      </c>
      <c r="H2" t="s">
        <v>2281</v>
      </c>
      <c r="K2" t="s">
        <v>2279</v>
      </c>
      <c r="L2" t="s">
        <v>2280</v>
      </c>
      <c r="M2" t="s">
        <v>2281</v>
      </c>
    </row>
    <row r="3" spans="1:13" x14ac:dyDescent="0.45">
      <c r="A3" t="s">
        <v>58</v>
      </c>
      <c r="B3" s="168">
        <v>46294</v>
      </c>
      <c r="C3" s="168">
        <v>46299</v>
      </c>
      <c r="F3" t="s">
        <v>58</v>
      </c>
      <c r="G3" s="168">
        <v>46350</v>
      </c>
      <c r="H3" s="168">
        <v>46355</v>
      </c>
      <c r="K3" t="s">
        <v>58</v>
      </c>
      <c r="L3" s="168">
        <v>46315</v>
      </c>
      <c r="M3" s="168">
        <v>46320</v>
      </c>
    </row>
    <row r="4" spans="1:13" x14ac:dyDescent="0.45">
      <c r="A4" t="s">
        <v>144</v>
      </c>
      <c r="B4" s="168">
        <v>46350</v>
      </c>
      <c r="C4" s="168">
        <v>46355</v>
      </c>
      <c r="F4" t="s">
        <v>144</v>
      </c>
      <c r="G4" s="168">
        <v>46083</v>
      </c>
      <c r="H4" s="168">
        <v>46088</v>
      </c>
      <c r="K4" t="s">
        <v>144</v>
      </c>
      <c r="L4" s="168">
        <v>46041</v>
      </c>
      <c r="M4" s="168">
        <v>46046</v>
      </c>
    </row>
    <row r="5" spans="1:13" x14ac:dyDescent="0.45">
      <c r="A5" t="s">
        <v>327</v>
      </c>
      <c r="B5" s="168">
        <v>46097</v>
      </c>
      <c r="C5" s="168">
        <v>46102</v>
      </c>
      <c r="F5" t="s">
        <v>327</v>
      </c>
      <c r="G5" s="168">
        <v>46146</v>
      </c>
      <c r="H5" s="168">
        <v>46151</v>
      </c>
      <c r="K5" t="s">
        <v>327</v>
      </c>
      <c r="L5" s="168">
        <v>46153</v>
      </c>
      <c r="M5" s="168">
        <v>46158</v>
      </c>
    </row>
    <row r="6" spans="1:13" x14ac:dyDescent="0.45">
      <c r="A6" t="s">
        <v>422</v>
      </c>
      <c r="B6" s="168">
        <v>46181</v>
      </c>
      <c r="C6" s="168">
        <v>46186</v>
      </c>
      <c r="F6" t="s">
        <v>422</v>
      </c>
      <c r="G6" s="168">
        <v>46188</v>
      </c>
      <c r="H6" s="168">
        <v>46193</v>
      </c>
      <c r="K6" t="s">
        <v>422</v>
      </c>
      <c r="L6" s="168">
        <v>46287</v>
      </c>
      <c r="M6" s="168">
        <v>46292</v>
      </c>
    </row>
    <row r="7" spans="1:13" x14ac:dyDescent="0.45">
      <c r="A7" t="s">
        <v>534</v>
      </c>
      <c r="B7" s="168">
        <v>46287</v>
      </c>
      <c r="C7" s="168">
        <v>46292</v>
      </c>
      <c r="F7" t="s">
        <v>534</v>
      </c>
      <c r="G7" s="168">
        <v>46294</v>
      </c>
      <c r="H7" s="168">
        <v>46299</v>
      </c>
      <c r="K7" t="s">
        <v>2293</v>
      </c>
      <c r="L7" s="168">
        <v>46357</v>
      </c>
      <c r="M7" s="168">
        <v>46362</v>
      </c>
    </row>
    <row r="8" spans="1:13" x14ac:dyDescent="0.45">
      <c r="A8" t="s">
        <v>2292</v>
      </c>
      <c r="B8" s="168">
        <v>46357</v>
      </c>
      <c r="C8" s="168">
        <v>46362</v>
      </c>
      <c r="F8" t="s">
        <v>2292</v>
      </c>
      <c r="G8" s="168">
        <v>46357</v>
      </c>
      <c r="H8" s="168">
        <v>46362</v>
      </c>
      <c r="K8" t="s">
        <v>615</v>
      </c>
      <c r="L8" s="168">
        <v>46090</v>
      </c>
      <c r="M8" s="168">
        <v>46095</v>
      </c>
    </row>
    <row r="9" spans="1:13" x14ac:dyDescent="0.45">
      <c r="A9" t="s">
        <v>737</v>
      </c>
      <c r="B9" s="168">
        <v>46090</v>
      </c>
      <c r="C9" s="168">
        <v>46095</v>
      </c>
      <c r="F9" t="s">
        <v>737</v>
      </c>
      <c r="G9" s="168">
        <v>46090</v>
      </c>
      <c r="H9" s="168">
        <v>46095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Biology</vt:lpstr>
      <vt:lpstr>Chemistry</vt:lpstr>
      <vt:lpstr>Physics</vt:lpstr>
      <vt:lpstr>Bio, chem, phys test</vt:lpstr>
      <vt:lpstr>Double and Single Award Test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Marc Curran</cp:lastModifiedBy>
  <cp:revision/>
  <dcterms:created xsi:type="dcterms:W3CDTF">2026-03-15T11:59:57Z</dcterms:created>
  <dcterms:modified xsi:type="dcterms:W3CDTF">2026-04-16T02:00:52Z</dcterms:modified>
  <cp:category/>
  <cp:contentStatus/>
</cp:coreProperties>
</file>